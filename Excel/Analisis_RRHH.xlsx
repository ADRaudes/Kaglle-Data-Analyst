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ito/Documents/GitHub/Kaglle-Data-Analyst/Excel/"/>
    </mc:Choice>
  </mc:AlternateContent>
  <xr:revisionPtr revIDLastSave="0" documentId="13_ncr:1_{4865DD42-C444-F24A-B42E-63F892BFBA1A}" xr6:coauthVersionLast="47" xr6:coauthVersionMax="47" xr10:uidLastSave="{00000000-0000-0000-0000-000000000000}"/>
  <bookViews>
    <workbookView xWindow="0" yWindow="780" windowWidth="34200" windowHeight="21460" activeTab="3" xr2:uid="{3B1E8D5E-6682-0743-A73B-5087AFC10738}"/>
  </bookViews>
  <sheets>
    <sheet name="Plantilla" sheetId="2" r:id="rId1"/>
    <sheet name="Salarios" sheetId="1" r:id="rId2"/>
    <sheet name="Tendencias " sheetId="19" r:id="rId3"/>
    <sheet name="destacados " sheetId="21" r:id="rId4"/>
  </sheets>
  <definedNames>
    <definedName name="DatosExternos_1" localSheetId="3" hidden="1">'destacados '!$A$14:$E$24</definedName>
    <definedName name="DatosExternos_1" localSheetId="0" hidden="1">Plantilla!$A$1:$B$10</definedName>
    <definedName name="DatosExternos_1" localSheetId="2" hidden="1">'Tendencias '!$A$20:$B$36</definedName>
    <definedName name="DatosExternos_10" localSheetId="1" hidden="1">Salarios!$A$51:$B$69</definedName>
    <definedName name="DatosExternos_11" localSheetId="2" hidden="1">'Tendencias '!$A$1:$B$17</definedName>
    <definedName name="DatosExternos_2" localSheetId="3" hidden="1">'destacados '!$A$1:$E$11</definedName>
    <definedName name="DatosExternos_2" localSheetId="0" hidden="1">Plantilla!$A$16:$C$25</definedName>
    <definedName name="DatosExternos_3" localSheetId="0" hidden="1">Plantilla!$A$28:$B$35</definedName>
    <definedName name="DatosExternos_7" localSheetId="1" hidden="1">Salarios!$A$28:$E$37</definedName>
    <definedName name="DatosExternos_8" localSheetId="1" hidden="1">Salarios!$A$1:$D$10</definedName>
    <definedName name="DatosExternos_9" localSheetId="1" hidden="1">Salarios!$A$13:$D$20</definedName>
  </definedNames>
  <calcPr calcId="191029" iterateDelta="1E-4"/>
  <pivotCaches>
    <pivotCache cacheId="57" r:id="rId5"/>
    <pivotCache cacheId="61" r:id="rId6"/>
    <pivotCache cacheId="65" r:id="rId7"/>
    <pivotCache cacheId="69" r:id="rId8"/>
    <pivotCache cacheId="73" r:id="rId9"/>
    <pivotCache cacheId="77" r:id="rId10"/>
    <pivotCache cacheId="81" r:id="rId11"/>
    <pivotCache cacheId="89" r:id="rId12"/>
    <pivotCache cacheId="94" r:id="rId13"/>
    <pivotCache cacheId="105" r:id="rId14"/>
    <pivotCache cacheId="10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95EB6F-E378-414A-BDD4-9471630DA69E}" keepAlive="1" name="Consulta - balance_anio" description="Conexión a la consulta 'balance_anio' en el libro." type="5" refreshedVersion="8" background="1" saveData="1">
    <dbPr connection="Provider=Microsoft.Mashup.OleDb.1;Data Source=$Workbook$;Location=balance_anio;Extended Properties=&quot;&quot;" command="SELECT * FROM [balance_anio]"/>
  </connection>
  <connection id="2" xr16:uid="{CD0320D3-29FF-F94D-BAB0-57B774D8DC8D}" keepAlive="1" name="Consulta - balance_anio (2)" description="Conexión a la consulta 'balance_anio (2)' en el libro." type="5" refreshedVersion="8" background="1" saveData="1">
    <dbPr connection="Provider=Microsoft.Mashup.OleDb.1;Data Source=$Workbook$;Location=&quot;balance_anio (2)&quot;;Extended Properties=&quot;&quot;" command="SELECT * FROM [balance_anio (2)]"/>
  </connection>
  <connection id="3" xr16:uid="{42C74585-FAB1-7C44-86D5-F1AEC6A7E644}" keepAlive="1" name="Consulta - brecha_depto" description="Conexión a la consulta 'brecha_depto' en el libro." type="5" refreshedVersion="8" background="1" saveData="1">
    <dbPr connection="Provider=Microsoft.Mashup.OleDb.1;Data Source=$Workbook$;Location=brecha_depto;Extended Properties=&quot;&quot;" command="SELECT * FROM [brecha_depto]"/>
  </connection>
  <connection id="4" xr16:uid="{B1B391B1-49C8-2540-A2B4-26F5CF57B6D0}" keepAlive="1" name="Consulta - brecha_depto (2)" description="Conexión a la consulta 'brecha_depto (2)' en el libro." type="5" refreshedVersion="8" background="1" saveData="1">
    <dbPr connection="Provider=Microsoft.Mashup.OleDb.1;Data Source=$Workbook$;Location=&quot;brecha_depto (2)&quot;;Extended Properties=&quot;&quot;" command="SELECT * FROM [brecha_depto (2)]"/>
  </connection>
  <connection id="5" xr16:uid="{146B6EA9-7150-5843-940E-3405AFCD7452}" keepAlive="1" name="Consulta - brecha_depto (3)" description="Conexión a la consulta 'brecha_depto (3)' en el libro." type="5" refreshedVersion="8" background="1" saveData="1">
    <dbPr connection="Provider=Microsoft.Mashup.OleDb.1;Data Source=$Workbook$;Location=&quot;brecha_depto (3)&quot;;Extended Properties=&quot;&quot;" command="SELECT * FROM [brecha_depto (3)]"/>
  </connection>
  <connection id="6" xr16:uid="{CDE0358C-9FAB-C045-8870-80B0EB6303A1}" keepAlive="1" name="Consulta - brecha_depto (4)" description="Conexión a la consulta 'brecha_depto (4)' en el libro." type="5" refreshedVersion="0" background="1">
    <dbPr connection="Provider=Microsoft.Mashup.OleDb.1;Data Source=$Workbook$;Location=&quot;brecha_depto (4)&quot;;Extended Properties=&quot;&quot;" command="SELECT * FROM [brecha_depto (4)]"/>
  </connection>
  <connection id="7" xr16:uid="{0D287EEF-5377-5F47-A9F2-5038065D7D50}" keepAlive="1" name="Consulta - brecha_depto (5)" description="Conexión a la consulta 'brecha_depto (5)' en el libro." type="5" refreshedVersion="8" background="1" saveData="1">
    <dbPr connection="Provider=Microsoft.Mashup.OleDb.1;Data Source=$Workbook$;Location=&quot;brecha_depto (5)&quot;;Extended Properties=&quot;&quot;" command="SELECT * FROM [brecha_depto (5)]"/>
  </connection>
  <connection id="8" xr16:uid="{44E236D0-567E-8149-A600-8FEDFCD2A7C4}" keepAlive="1" name="Consulta - brecha_depto (6)" description="Conexión a la consulta 'brecha_depto (6)' en el libro." type="5" refreshedVersion="8" background="1" saveData="1">
    <dbPr connection="Provider=Microsoft.Mashup.OleDb.1;Data Source=$Workbook$;Location=&quot;brecha_depto (6)&quot;;Extended Properties=&quot;&quot;" command="SELECT * FROM [brecha_depto (6)]"/>
  </connection>
  <connection id="9" xr16:uid="{3CF01EF4-6F7C-DA4E-8EAF-F3826CF4765C}" keepAlive="1" name="Consulta - cargos" description="Conexión a la consulta 'cargos' en el libro." type="5" refreshedVersion="0" background="1">
    <dbPr connection="Provider=Microsoft.Mashup.OleDb.1;Data Source=$Workbook$;Location=cargos;Extended Properties=&quot;&quot;" command="SELECT * FROM [cargos]"/>
  </connection>
  <connection id="10" xr16:uid="{1573C39E-C424-B941-8BFE-285BE68603CE}" keepAlive="1" name="Consulta - cargos (2)" description="Conexión a la consulta 'cargos (2)' en el libro." type="5" refreshedVersion="8" background="1" saveData="1">
    <dbPr connection="Provider=Microsoft.Mashup.OleDb.1;Data Source=$Workbook$;Location=&quot;cargos (2)&quot;;Extended Properties=&quot;&quot;" command="SELECT * FROM [cargos (2)]"/>
  </connection>
  <connection id="11" xr16:uid="{24FFD47D-3520-DD4A-B50A-0D9925351923}" keepAlive="1" name="Consulta - genero_dept" description="Conexión a la consulta 'genero_dept' en el libro." type="5" refreshedVersion="8" background="1" saveData="1">
    <dbPr connection="Provider=Microsoft.Mashup.OleDb.1;Data Source=$Workbook$;Location=genero_dept;Extended Properties=&quot;&quot;" command="SELECT * FROM [genero_dept]"/>
  </connection>
  <connection id="12" xr16:uid="{0D8954E0-6C77-C149-A322-C6176F933ABA}" keepAlive="1" name="Consulta - genero_dept (2)" description="Conexión a la consulta 'genero_dept (2)' en el libro." type="5" refreshedVersion="8" background="1" saveData="1">
    <dbPr connection="Provider=Microsoft.Mashup.OleDb.1;Data Source=$Workbook$;Location=&quot;genero_dept (2)&quot;;Extended Properties=&quot;&quot;" command="SELECT * FROM [genero_dept (2)]"/>
  </connection>
  <connection id="13" xr16:uid="{A987F7B0-3F44-964F-9B01-65BA879C65DC}" keepAlive="1" name="Consulta - headcount_depto" description="Conexión a la consulta 'headcount_depto' en el libro." type="5" refreshedVersion="8" background="1" saveData="1">
    <dbPr connection="Provider=Microsoft.Mashup.OleDb.1;Data Source=$Workbook$;Location=headcount_depto;Extended Properties=&quot;&quot;" command="SELECT * FROM [headcount_depto]"/>
  </connection>
  <connection id="14" xr16:uid="{EAF1EF6C-8972-994C-B3BB-91F4DB729A79}" keepAlive="1" name="Consulta - mujeres_anio" description="Conexión a la consulta 'mujeres_anio' en el libro." type="5" refreshedVersion="8" background="1" saveData="1">
    <dbPr connection="Provider=Microsoft.Mashup.OleDb.1;Data Source=$Workbook$;Location=mujeres_anio;Extended Properties=&quot;&quot;" command="SELECT * FROM [mujeres_anio]"/>
  </connection>
  <connection id="15" xr16:uid="{6FF11154-3B05-3240-AB2C-4CC950B6D5D2}" keepAlive="1" name="Consulta - mujeres_anio (2)" description="Conexión a la consulta 'mujeres_anio (2)' en el libro." type="5" refreshedVersion="8" background="1" saveData="1">
    <dbPr connection="Provider=Microsoft.Mashup.OleDb.1;Data Source=$Workbook$;Location=&quot;mujeres_anio (2)&quot;;Extended Properties=&quot;&quot;" command="SELECT * FROM [mujeres_anio (2)]"/>
  </connection>
  <connection id="16" xr16:uid="{22D7E9A7-71D6-7C40-B3B5-83C7416AED2E}" keepAlive="1" name="Consulta - salario_anio" description="Conexión a la consulta 'salario_anio' en el libro." type="5" refreshedVersion="8" background="1" saveData="1">
    <dbPr connection="Provider=Microsoft.Mashup.OleDb.1;Data Source=$Workbook$;Location=salario_anio;Extended Properties=&quot;&quot;" command="SELECT * FROM [salario_anio]"/>
  </connection>
  <connection id="17" xr16:uid="{4941996F-83AD-BB49-BD11-ECB7FB566C55}" keepAlive="1" name="Consulta - salario_anio (2)" description="Conexión a la consulta 'salario_anio (2)' en el libro." type="5" refreshedVersion="8" background="1" saveData="1">
    <dbPr connection="Provider=Microsoft.Mashup.OleDb.1;Data Source=$Workbook$;Location=&quot;salario_anio (2)&quot;;Extended Properties=&quot;&quot;" command="SELECT * FROM [salario_anio (2)]"/>
  </connection>
  <connection id="18" xr16:uid="{1CD3E971-DA4E-7F43-B799-B58E15F557CD}" keepAlive="1" name="Consulta - salario_anio (3)" description="Conexión a la consulta 'salario_anio (3)' en el libro." type="5" refreshedVersion="8" background="1" saveData="1">
    <dbPr connection="Provider=Microsoft.Mashup.OleDb.1;Data Source=$Workbook$;Location=&quot;salario_anio (3)&quot;;Extended Properties=&quot;&quot;" command="SELECT * FROM [salario_anio (3)]"/>
  </connection>
  <connection id="19" xr16:uid="{A4E66A75-061A-CA40-B844-FF67480C43E3}" keepAlive="1" name="Consulta - salario_cargo" description="Conexión a la consulta 'salario_cargo' en el libro." type="5" refreshedVersion="0" background="1">
    <dbPr connection="Provider=Microsoft.Mashup.OleDb.1;Data Source=$Workbook$;Location=salario_cargo;Extended Properties=&quot;&quot;" command="SELECT * FROM [salario_cargo]"/>
  </connection>
  <connection id="20" xr16:uid="{A4A7B96B-6A7F-1B4A-883B-FC20114983DD}" keepAlive="1" name="Consulta - salario_cargo (2)" description="Conexión a la consulta 'salario_cargo (2)' en el libro." type="5" refreshedVersion="8" background="1" saveData="1">
    <dbPr connection="Provider=Microsoft.Mashup.OleDb.1;Data Source=$Workbook$;Location=&quot;salario_cargo (2)&quot;;Extended Properties=&quot;&quot;" command="SELECT * FROM [salario_cargo (2)]"/>
  </connection>
  <connection id="21" xr16:uid="{45713B5D-7B2B-954B-8DEC-7E0D2E72E9E3}" keepAlive="1" name="Consulta - salario_cargo (3)" description="Conexión a la consulta 'salario_cargo (3)' en el libro." type="5" refreshedVersion="0" background="1">
    <dbPr connection="Provider=Microsoft.Mashup.OleDb.1;Data Source=$Workbook$;Location=&quot;salario_cargo (3)&quot;;Extended Properties=&quot;&quot;" command="SELECT * FROM [salario_cargo (3)]"/>
  </connection>
  <connection id="22" xr16:uid="{958C59C2-3B18-B148-ABC5-9295A8FD61B6}" keepAlive="1" name="Consulta - salario_cargo (4)" description="Conexión a la consulta 'salario_cargo (4)' en el libro." type="5" refreshedVersion="8" background="1" saveData="1">
    <dbPr connection="Provider=Microsoft.Mashup.OleDb.1;Data Source=$Workbook$;Location=&quot;salario_cargo (4)&quot;;Extended Properties=&quot;&quot;" command="SELECT * FROM [salario_cargo (4)]"/>
  </connection>
  <connection id="23" xr16:uid="{F7ABFBE2-61D4-9E45-A1C0-1D7AAD4B8203}" keepAlive="1" name="Consulta - salario_depto" description="Conexión a la consulta 'salario_depto' en el libro." type="5" refreshedVersion="8" background="1" saveData="1">
    <dbPr connection="Provider=Microsoft.Mashup.OleDb.1;Data Source=$Workbook$;Location=salario_depto;Extended Properties=&quot;&quot;" command="SELECT * FROM [salario_depto]"/>
  </connection>
  <connection id="24" xr16:uid="{C1E2BC90-2576-3D4F-9DCB-C8D89245B39B}" keepAlive="1" name="Consulta - salario_depto (2)" description="Conexión a la consulta 'salario_depto (2)' en el libro." type="5" refreshedVersion="8" background="1" saveData="1">
    <dbPr connection="Provider=Microsoft.Mashup.OleDb.1;Data Source=$Workbook$;Location=&quot;salario_depto (2)&quot;;Extended Properties=&quot;&quot;" command="SELECT * FROM [salario_depto (2)]"/>
  </connection>
  <connection id="25" xr16:uid="{B1FF42D7-8088-DB4F-9616-C9FFAFD1A129}" keepAlive="1" name="Consulta - salario_depto (3)" description="Conexión a la consulta 'salario_depto (3)' en el libro." type="5" refreshedVersion="0" background="1">
    <dbPr connection="Provider=Microsoft.Mashup.OleDb.1;Data Source=$Workbook$;Location=&quot;salario_depto (3)&quot;;Extended Properties=&quot;&quot;" command="SELECT * FROM [salario_depto (3)]"/>
  </connection>
  <connection id="26" xr16:uid="{9A6CE22E-6C1F-A14E-B616-62D4E7AC1D11}" keepAlive="1" name="Consulta - salario_depto (4)" description="Conexión a la consulta 'salario_depto (4)' en el libro." type="5" refreshedVersion="8" background="1" saveData="1">
    <dbPr connection="Provider=Microsoft.Mashup.OleDb.1;Data Source=$Workbook$;Location=&quot;salario_depto (4)&quot;;Extended Properties=&quot;&quot;" command="SELECT * FROM [salario_depto (4)]"/>
  </connection>
  <connection id="27" xr16:uid="{5BACD9BB-C329-C646-88CF-D57E51A2C9E1}" keepAlive="1" name="Consulta - top_salarios" description="Conexión a la consulta 'top_salarios' en el libro." type="5" refreshedVersion="8" background="1" saveData="1">
    <dbPr connection="Provider=Microsoft.Mashup.OleDb.1;Data Source=$Workbook$;Location=top_salarios;Extended Properties=&quot;&quot;" command="SELECT * FROM [top_salarios]"/>
  </connection>
  <connection id="28" xr16:uid="{D8741D1E-0EEB-1E45-B6A7-1A32048761DD}" keepAlive="1" name="Consulta - top_salarios (2)" description="Conexión a la consulta 'top_salarios (2)' en el libro." type="5" refreshedVersion="8" background="1" saveData="1">
    <dbPr connection="Provider=Microsoft.Mashup.OleDb.1;Data Source=$Workbook$;Location=&quot;top_salarios (2)&quot;;Extended Properties=&quot;&quot;" command="SELECT * FROM [top_salarios (2)]"/>
  </connection>
  <connection id="29" xr16:uid="{BB5247B6-4B3D-4E47-97C0-A9FDC8D12E56}" keepAlive="1" name="Consulta - top_salarios (3)" description="Conexión a la consulta 'top_salarios (3)' en el libro." type="5" refreshedVersion="8" background="1" saveData="1">
    <dbPr connection="Provider=Microsoft.Mashup.OleDb.1;Data Source=$Workbook$;Location=&quot;top_salarios (3)&quot;;Extended Properties=&quot;&quot;" command="SELECT * FROM [top_salarios (3)]"/>
  </connection>
  <connection id="30" xr16:uid="{475DAC79-84DA-AD4E-A3CE-C83EB9C6D8F1}" keepAlive="1" name="Consulta - top_veteranos" description="Conexión a la consulta 'top_veteranos' en el libro." type="5" refreshedVersion="8" background="1" saveData="1">
    <dbPr connection="Provider=Microsoft.Mashup.OleDb.1;Data Source=$Workbook$;Location=top_veteranos;Extended Properties=&quot;&quot;" command="SELECT * FROM [top_veteranos]"/>
  </connection>
  <connection id="31" xr16:uid="{43DE641A-7E5B-C348-BC6E-43B6885ECEA5}" keepAlive="1" name="Consulta - top_veteranos (2)" description="Conexión a la consulta 'top_veteranos (2)' en el libro." type="5" refreshedVersion="0" background="1">
    <dbPr connection="Provider=Microsoft.Mashup.OleDb.1;Data Source=$Workbook$;Location=&quot;top_veteranos (2)&quot;;Extended Properties=&quot;&quot;" command="SELECT * FROM [top_veteranos (2)]"/>
  </connection>
  <connection id="32" xr16:uid="{6D885E5B-6D4D-E94E-8781-26B545FD906E}" keepAlive="1" name="Consulta - top_veteranos (3)" description="Conexión a la consulta 'top_veteranos (3)' en el libro." type="5" refreshedVersion="8" background="1" saveData="1">
    <dbPr connection="Provider=Microsoft.Mashup.OleDb.1;Data Source=$Workbook$;Location=&quot;top_veteranos (3)&quot;;Extended Properties=&quot;&quot;" command="SELECT * FROM [top_veteranos (3)]"/>
  </connection>
</connections>
</file>

<file path=xl/sharedStrings.xml><?xml version="1.0" encoding="utf-8"?>
<sst xmlns="http://schemas.openxmlformats.org/spreadsheetml/2006/main" count="260" uniqueCount="91">
  <si>
    <t>dept_name</t>
  </si>
  <si>
    <t>Activos</t>
  </si>
  <si>
    <t>Development</t>
  </si>
  <si>
    <t>Sales</t>
  </si>
  <si>
    <t>Production</t>
  </si>
  <si>
    <t>Human Resources</t>
  </si>
  <si>
    <t>Research</t>
  </si>
  <si>
    <t>Quality Management</t>
  </si>
  <si>
    <t>Marketing</t>
  </si>
  <si>
    <t>Customer Service</t>
  </si>
  <si>
    <t>Finance</t>
  </si>
  <si>
    <t>balance</t>
  </si>
  <si>
    <t>year</t>
  </si>
  <si>
    <t>Promedio_Masculino</t>
  </si>
  <si>
    <t>Promedio_Femenino</t>
  </si>
  <si>
    <t>Diferencia</t>
  </si>
  <si>
    <t>Porcentaje_Diferencia</t>
  </si>
  <si>
    <t>title</t>
  </si>
  <si>
    <t>cargos</t>
  </si>
  <si>
    <t>Senior Engineer</t>
  </si>
  <si>
    <t>Senior Staff</t>
  </si>
  <si>
    <t>Engineer</t>
  </si>
  <si>
    <t>Staff</t>
  </si>
  <si>
    <t>Technique Leader</t>
  </si>
  <si>
    <t>Assistant Engineer</t>
  </si>
  <si>
    <t>Manager</t>
  </si>
  <si>
    <t>Masculino</t>
  </si>
  <si>
    <t>Femenino</t>
  </si>
  <si>
    <t>year_d</t>
  </si>
  <si>
    <t>porcentaje_mujeres</t>
  </si>
  <si>
    <t>Año</t>
  </si>
  <si>
    <t>Promedio</t>
  </si>
  <si>
    <t>S_MIN</t>
  </si>
  <si>
    <t>S_MAX</t>
  </si>
  <si>
    <t>first_name</t>
  </si>
  <si>
    <t>last_name</t>
  </si>
  <si>
    <t>salary</t>
  </si>
  <si>
    <t>Tokuyasu</t>
  </si>
  <si>
    <t>Pesch</t>
  </si>
  <si>
    <t>Honesty</t>
  </si>
  <si>
    <t>Mukaidono</t>
  </si>
  <si>
    <t>Xiahua</t>
  </si>
  <si>
    <t>Whitcomb</t>
  </si>
  <si>
    <t>Sanjai</t>
  </si>
  <si>
    <t>Luders</t>
  </si>
  <si>
    <t>Tsutomu</t>
  </si>
  <si>
    <t>Alameldin</t>
  </si>
  <si>
    <t>Willard</t>
  </si>
  <si>
    <t>Baca</t>
  </si>
  <si>
    <t>Lidong</t>
  </si>
  <si>
    <t>Meriste</t>
  </si>
  <si>
    <t>Charmane</t>
  </si>
  <si>
    <t>Griswold</t>
  </si>
  <si>
    <t>Weijing</t>
  </si>
  <si>
    <t>Chenoweth</t>
  </si>
  <si>
    <t>Weicheng</t>
  </si>
  <si>
    <t>Hatcliff</t>
  </si>
  <si>
    <t>hire_date</t>
  </si>
  <si>
    <t>anios_trabajados</t>
  </si>
  <si>
    <t>Tonny</t>
  </si>
  <si>
    <t>Butterworth</t>
  </si>
  <si>
    <t>Arie</t>
  </si>
  <si>
    <t>Staelin</t>
  </si>
  <si>
    <t>Krassimir</t>
  </si>
  <si>
    <t>Wegerle</t>
  </si>
  <si>
    <t>Shirish</t>
  </si>
  <si>
    <t>Ossenbruggen</t>
  </si>
  <si>
    <t>Przemyslawa</t>
  </si>
  <si>
    <t>Kaelbling</t>
  </si>
  <si>
    <t>Ebru</t>
  </si>
  <si>
    <t>Alpin</t>
  </si>
  <si>
    <t>Margareta</t>
  </si>
  <si>
    <t>Markovitch</t>
  </si>
  <si>
    <t>Peternela</t>
  </si>
  <si>
    <t>Onuegbe</t>
  </si>
  <si>
    <t>DeForest</t>
  </si>
  <si>
    <t>Hagimont</t>
  </si>
  <si>
    <t>Isamu</t>
  </si>
  <si>
    <t>Legleitner</t>
  </si>
  <si>
    <t>Etiquetas de fila</t>
  </si>
  <si>
    <t>Total general</t>
  </si>
  <si>
    <t>Suma de Activos</t>
  </si>
  <si>
    <t>Suma de Masculino</t>
  </si>
  <si>
    <t>Suma de Femenino</t>
  </si>
  <si>
    <t>Suma de cargos</t>
  </si>
  <si>
    <t>Suma de Promedio</t>
  </si>
  <si>
    <t>Suma de Diferencia</t>
  </si>
  <si>
    <t>Suma de porcentaje_mujeres</t>
  </si>
  <si>
    <t>Suma de balance</t>
  </si>
  <si>
    <t>Suma de anios_trabajados</t>
  </si>
  <si>
    <t>Suma de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</si>
</sst>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NumberFormat="1" applyBorder="1"/>
    <xf numFmtId="0" fontId="0" fillId="0" borderId="1" xfId="0" applyBorder="1"/>
    <xf numFmtId="0" fontId="0" fillId="0" borderId="6" xfId="0" applyBorder="1"/>
    <xf numFmtId="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0" borderId="1" xfId="0" applyNumberFormat="1" applyBorder="1"/>
    <xf numFmtId="0" fontId="0" fillId="0" borderId="5" xfId="0" applyBorder="1"/>
    <xf numFmtId="14" fontId="0" fillId="0" borderId="1" xfId="0" applyNumberFormat="1" applyBorder="1"/>
    <xf numFmtId="0" fontId="0" fillId="0" borderId="8" xfId="0" applyNumberFormat="1" applyBorder="1"/>
    <xf numFmtId="14" fontId="0" fillId="0" borderId="8" xfId="0" applyNumberFormat="1" applyBorder="1"/>
  </cellXfs>
  <cellStyles count="1">
    <cellStyle name="Normal" xfId="0" builtinId="0"/>
  </cellStyles>
  <dxfs count="76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10" Type="http://schemas.openxmlformats.org/officeDocument/2006/relationships/pivotCacheDefinition" Target="pivotCache/pivotCacheDefinition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[Analisis_RRHH.xlsx]Plantilla!TablaDinámica1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baseline="0"/>
              <a:t>Development y Production concentran casi la mitad de la plantilla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Plantilla!$D$1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Plantilla!$C$2:$C$11</c:f>
              <c:strCache>
                <c:ptCount val="9"/>
                <c:pt idx="0">
                  <c:v>Development</c:v>
                </c:pt>
                <c:pt idx="1">
                  <c:v>Production</c:v>
                </c:pt>
                <c:pt idx="2">
                  <c:v>Sales</c:v>
                </c:pt>
                <c:pt idx="3">
                  <c:v>Customer Service</c:v>
                </c:pt>
                <c:pt idx="4">
                  <c:v>Research</c:v>
                </c:pt>
                <c:pt idx="5">
                  <c:v>Marketing</c:v>
                </c:pt>
                <c:pt idx="6">
                  <c:v>Quality Management</c:v>
                </c:pt>
                <c:pt idx="7">
                  <c:v>Human Resources</c:v>
                </c:pt>
                <c:pt idx="8">
                  <c:v>Finance</c:v>
                </c:pt>
              </c:strCache>
            </c:strRef>
          </c:cat>
          <c:val>
            <c:numRef>
              <c:f>Plantilla!$D$2:$D$11</c:f>
              <c:numCache>
                <c:formatCode>General</c:formatCode>
                <c:ptCount val="9"/>
                <c:pt idx="0">
                  <c:v>61386</c:v>
                </c:pt>
                <c:pt idx="1">
                  <c:v>53304</c:v>
                </c:pt>
                <c:pt idx="2">
                  <c:v>37701</c:v>
                </c:pt>
                <c:pt idx="3">
                  <c:v>17569</c:v>
                </c:pt>
                <c:pt idx="4">
                  <c:v>15441</c:v>
                </c:pt>
                <c:pt idx="5">
                  <c:v>14842</c:v>
                </c:pt>
                <c:pt idx="6">
                  <c:v>14546</c:v>
                </c:pt>
                <c:pt idx="7">
                  <c:v>12898</c:v>
                </c:pt>
                <c:pt idx="8">
                  <c:v>12437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78-BB43-AD38-20B30A3F0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86585407"/>
        <c:axId val="686575551"/>
      </c:barChart>
      <c:catAx>
        <c:axId val="68658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686575551"/>
        <c:crosses val="autoZero"/>
        <c:auto val="1"/>
        <c:lblAlgn val="ctr"/>
        <c:lblOffset val="100"/>
        <c:noMultiLvlLbl val="0"/>
      </c:catAx>
      <c:valAx>
        <c:axId val="68657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68658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[Analisis_RRHH.xlsx]Plantilla!TablaDinámica2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Plantilla!$E$16</c:f>
              <c:strCache>
                <c:ptCount val="1"/>
                <c:pt idx="0">
                  <c:v>Suma de Masculino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Plantilla!$D$17:$D$26</c:f>
              <c:strCache>
                <c:ptCount val="9"/>
                <c:pt idx="0">
                  <c:v>Development</c:v>
                </c:pt>
                <c:pt idx="1">
                  <c:v>Production</c:v>
                </c:pt>
                <c:pt idx="2">
                  <c:v>Sales</c:v>
                </c:pt>
                <c:pt idx="3">
                  <c:v>Customer Service</c:v>
                </c:pt>
                <c:pt idx="4">
                  <c:v>Research</c:v>
                </c:pt>
                <c:pt idx="5">
                  <c:v>Quality Management</c:v>
                </c:pt>
                <c:pt idx="6">
                  <c:v>Marketing</c:v>
                </c:pt>
                <c:pt idx="7">
                  <c:v>Human Resources</c:v>
                </c:pt>
                <c:pt idx="8">
                  <c:v>Finance</c:v>
                </c:pt>
              </c:strCache>
            </c:strRef>
          </c:cat>
          <c:val>
            <c:numRef>
              <c:f>Plantilla!$E$17:$E$26</c:f>
              <c:numCache>
                <c:formatCode>General</c:formatCode>
                <c:ptCount val="9"/>
                <c:pt idx="0">
                  <c:v>36853</c:v>
                </c:pt>
                <c:pt idx="1">
                  <c:v>31911</c:v>
                </c:pt>
                <c:pt idx="2">
                  <c:v>22702</c:v>
                </c:pt>
                <c:pt idx="3">
                  <c:v>10562</c:v>
                </c:pt>
                <c:pt idx="4">
                  <c:v>9260</c:v>
                </c:pt>
                <c:pt idx="5">
                  <c:v>8674</c:v>
                </c:pt>
                <c:pt idx="6">
                  <c:v>8978</c:v>
                </c:pt>
                <c:pt idx="7">
                  <c:v>7751</c:v>
                </c:pt>
                <c:pt idx="8">
                  <c:v>7423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A-C340-8E7D-6CABE818998A}"/>
            </c:ext>
          </c:extLst>
        </c:ser>
        <c:ser>
          <c:idx val="1"/>
          <c:order val="1"/>
          <c:tx>
            <c:strRef>
              <c:f>Plantilla!$F$16</c:f>
              <c:strCache>
                <c:ptCount val="1"/>
                <c:pt idx="0">
                  <c:v>Suma de Femenino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Plantilla!$D$17:$D$26</c:f>
              <c:strCache>
                <c:ptCount val="9"/>
                <c:pt idx="0">
                  <c:v>Development</c:v>
                </c:pt>
                <c:pt idx="1">
                  <c:v>Production</c:v>
                </c:pt>
                <c:pt idx="2">
                  <c:v>Sales</c:v>
                </c:pt>
                <c:pt idx="3">
                  <c:v>Customer Service</c:v>
                </c:pt>
                <c:pt idx="4">
                  <c:v>Research</c:v>
                </c:pt>
                <c:pt idx="5">
                  <c:v>Quality Management</c:v>
                </c:pt>
                <c:pt idx="6">
                  <c:v>Marketing</c:v>
                </c:pt>
                <c:pt idx="7">
                  <c:v>Human Resources</c:v>
                </c:pt>
                <c:pt idx="8">
                  <c:v>Finance</c:v>
                </c:pt>
              </c:strCache>
            </c:strRef>
          </c:cat>
          <c:val>
            <c:numRef>
              <c:f>Plantilla!$F$17:$F$26</c:f>
              <c:numCache>
                <c:formatCode>General</c:formatCode>
                <c:ptCount val="9"/>
                <c:pt idx="0">
                  <c:v>24533</c:v>
                </c:pt>
                <c:pt idx="1">
                  <c:v>21393</c:v>
                </c:pt>
                <c:pt idx="2">
                  <c:v>14999</c:v>
                </c:pt>
                <c:pt idx="3">
                  <c:v>7007</c:v>
                </c:pt>
                <c:pt idx="4">
                  <c:v>6181</c:v>
                </c:pt>
                <c:pt idx="5">
                  <c:v>5872</c:v>
                </c:pt>
                <c:pt idx="6">
                  <c:v>5864</c:v>
                </c:pt>
                <c:pt idx="7">
                  <c:v>5147</c:v>
                </c:pt>
                <c:pt idx="8">
                  <c:v>5014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7A-C340-8E7D-6CABE8189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95100991"/>
        <c:axId val="595104575"/>
      </c:barChart>
      <c:catAx>
        <c:axId val="595100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95104575"/>
        <c:crosses val="autoZero"/>
        <c:auto val="1"/>
        <c:lblAlgn val="ctr"/>
        <c:lblOffset val="100"/>
        <c:noMultiLvlLbl val="0"/>
      </c:catAx>
      <c:valAx>
        <c:axId val="59510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9510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[Analisis_RRHH.xlsx]Plantilla!TablaDinámica3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seniors</a:t>
            </a:r>
            <a:r>
              <a:rPr lang="en-US" baseline="0"/>
              <a:t> dominan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Plantilla!$D$28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Plantilla!$C$29:$C$36</c:f>
              <c:strCache>
                <c:ptCount val="7"/>
                <c:pt idx="0">
                  <c:v>Senior Engineer</c:v>
                </c:pt>
                <c:pt idx="1">
                  <c:v>Senior Staff</c:v>
                </c:pt>
                <c:pt idx="2">
                  <c:v>Engineer</c:v>
                </c:pt>
                <c:pt idx="3">
                  <c:v>Staff</c:v>
                </c:pt>
                <c:pt idx="4">
                  <c:v>Technique Leader</c:v>
                </c:pt>
                <c:pt idx="5">
                  <c:v>Assistant Engineer</c:v>
                </c:pt>
                <c:pt idx="6">
                  <c:v>Manager</c:v>
                </c:pt>
              </c:strCache>
            </c:strRef>
          </c:cat>
          <c:val>
            <c:numRef>
              <c:f>Plantilla!$D$29:$D$36</c:f>
              <c:numCache>
                <c:formatCode>General</c:formatCode>
                <c:ptCount val="7"/>
                <c:pt idx="0">
                  <c:v>85939</c:v>
                </c:pt>
                <c:pt idx="1">
                  <c:v>82024</c:v>
                </c:pt>
                <c:pt idx="2">
                  <c:v>30983</c:v>
                </c:pt>
                <c:pt idx="3">
                  <c:v>25526</c:v>
                </c:pt>
                <c:pt idx="4">
                  <c:v>12055</c:v>
                </c:pt>
                <c:pt idx="5">
                  <c:v>3588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D-1340-962E-704D4F637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7957631"/>
        <c:axId val="687960319"/>
      </c:barChart>
      <c:catAx>
        <c:axId val="68795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687960319"/>
        <c:crosses val="autoZero"/>
        <c:auto val="1"/>
        <c:lblAlgn val="ctr"/>
        <c:lblOffset val="100"/>
        <c:noMultiLvlLbl val="0"/>
      </c:catAx>
      <c:valAx>
        <c:axId val="68796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68795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[Analisis_RRHH.xlsx]Salarios!TablaDinámica9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Departamentos</a:t>
            </a:r>
            <a:r>
              <a:rPr lang="en-US" baseline="0"/>
              <a:t> que mejor pagan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Salarios!$F$1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Salarios!$E$2:$E$11</c:f>
              <c:strCache>
                <c:ptCount val="9"/>
                <c:pt idx="0">
                  <c:v>Sales</c:v>
                </c:pt>
                <c:pt idx="1">
                  <c:v>Marketing</c:v>
                </c:pt>
                <c:pt idx="2">
                  <c:v>Finance</c:v>
                </c:pt>
                <c:pt idx="3">
                  <c:v>Research</c:v>
                </c:pt>
                <c:pt idx="4">
                  <c:v>Production</c:v>
                </c:pt>
                <c:pt idx="5">
                  <c:v>Development</c:v>
                </c:pt>
                <c:pt idx="6">
                  <c:v>Customer Service</c:v>
                </c:pt>
                <c:pt idx="7">
                  <c:v>Quality Management</c:v>
                </c:pt>
                <c:pt idx="8">
                  <c:v>Human Resources</c:v>
                </c:pt>
              </c:strCache>
            </c:strRef>
          </c:cat>
          <c:val>
            <c:numRef>
              <c:f>Salarios!$F$2:$F$11</c:f>
              <c:numCache>
                <c:formatCode>General</c:formatCode>
                <c:ptCount val="9"/>
                <c:pt idx="0">
                  <c:v>88853</c:v>
                </c:pt>
                <c:pt idx="1">
                  <c:v>80059</c:v>
                </c:pt>
                <c:pt idx="2">
                  <c:v>78560</c:v>
                </c:pt>
                <c:pt idx="3">
                  <c:v>67913</c:v>
                </c:pt>
                <c:pt idx="4">
                  <c:v>67843</c:v>
                </c:pt>
                <c:pt idx="5">
                  <c:v>67658</c:v>
                </c:pt>
                <c:pt idx="6">
                  <c:v>67285</c:v>
                </c:pt>
                <c:pt idx="7">
                  <c:v>65442</c:v>
                </c:pt>
                <c:pt idx="8">
                  <c:v>63922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D-584B-A004-E08B19FA5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489471"/>
        <c:axId val="588489023"/>
      </c:barChart>
      <c:catAx>
        <c:axId val="58848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88489023"/>
        <c:crosses val="autoZero"/>
        <c:auto val="1"/>
        <c:lblAlgn val="ctr"/>
        <c:lblOffset val="100"/>
        <c:noMultiLvlLbl val="0"/>
      </c:catAx>
      <c:valAx>
        <c:axId val="58848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8848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[Analisis_RRHH.xlsx]Salarios!TablaDinámica10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mejor pagados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Salarios!$F$13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Salarios!$E$14:$E$21</c:f>
              <c:strCache>
                <c:ptCount val="7"/>
                <c:pt idx="0">
                  <c:v>Senior Staff</c:v>
                </c:pt>
                <c:pt idx="1">
                  <c:v>Manager</c:v>
                </c:pt>
                <c:pt idx="2">
                  <c:v>Senior Engineer</c:v>
                </c:pt>
                <c:pt idx="3">
                  <c:v>Technique Leader</c:v>
                </c:pt>
                <c:pt idx="4">
                  <c:v>Staff</c:v>
                </c:pt>
                <c:pt idx="5">
                  <c:v>Engineer</c:v>
                </c:pt>
                <c:pt idx="6">
                  <c:v>Assistant Engineer</c:v>
                </c:pt>
              </c:strCache>
            </c:strRef>
          </c:cat>
          <c:val>
            <c:numRef>
              <c:f>Salarios!$F$14:$F$21</c:f>
              <c:numCache>
                <c:formatCode>General</c:formatCode>
                <c:ptCount val="7"/>
                <c:pt idx="0">
                  <c:v>80706</c:v>
                </c:pt>
                <c:pt idx="1">
                  <c:v>77724</c:v>
                </c:pt>
                <c:pt idx="2">
                  <c:v>70823</c:v>
                </c:pt>
                <c:pt idx="3">
                  <c:v>67507</c:v>
                </c:pt>
                <c:pt idx="4">
                  <c:v>67331</c:v>
                </c:pt>
                <c:pt idx="5">
                  <c:v>59603</c:v>
                </c:pt>
                <c:pt idx="6">
                  <c:v>57318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B-D24F-98D4-1E8E2C2FF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148479"/>
        <c:axId val="562144447"/>
      </c:barChart>
      <c:catAx>
        <c:axId val="56214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62144447"/>
        <c:crosses val="autoZero"/>
        <c:auto val="1"/>
        <c:lblAlgn val="ctr"/>
        <c:lblOffset val="100"/>
        <c:noMultiLvlLbl val="0"/>
      </c:catAx>
      <c:valAx>
        <c:axId val="56214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6214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[Analisis_RRHH.xlsx]Salarios!TablaDinámica11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brecha</a:t>
            </a:r>
            <a:r>
              <a:rPr lang="en-US" baseline="0"/>
              <a:t> minima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0980907602040061E-2"/>
          <c:y val="8.6076480023330432E-2"/>
          <c:w val="0.93403470763843466"/>
          <c:h val="0.777384076990376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Salarios!$B$38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Salarios!$A$39:$A$48</c:f>
              <c:strCache>
                <c:ptCount val="9"/>
                <c:pt idx="0">
                  <c:v>Marketing</c:v>
                </c:pt>
                <c:pt idx="1">
                  <c:v>Production</c:v>
                </c:pt>
                <c:pt idx="2">
                  <c:v>Development</c:v>
                </c:pt>
                <c:pt idx="3">
                  <c:v>Sales</c:v>
                </c:pt>
                <c:pt idx="4">
                  <c:v>Research</c:v>
                </c:pt>
                <c:pt idx="5">
                  <c:v>Quality Management</c:v>
                </c:pt>
                <c:pt idx="6">
                  <c:v>Customer Service</c:v>
                </c:pt>
                <c:pt idx="7">
                  <c:v>Finance</c:v>
                </c:pt>
                <c:pt idx="8">
                  <c:v>Human Resources</c:v>
                </c:pt>
              </c:strCache>
            </c:strRef>
          </c:cat>
          <c:val>
            <c:numRef>
              <c:f>Salarios!$B$39:$B$48</c:f>
              <c:numCache>
                <c:formatCode>General</c:formatCode>
                <c:ptCount val="9"/>
                <c:pt idx="0">
                  <c:v>594</c:v>
                </c:pt>
                <c:pt idx="1">
                  <c:v>192</c:v>
                </c:pt>
                <c:pt idx="2">
                  <c:v>137</c:v>
                </c:pt>
                <c:pt idx="3">
                  <c:v>28</c:v>
                </c:pt>
                <c:pt idx="4">
                  <c:v>-164</c:v>
                </c:pt>
                <c:pt idx="5">
                  <c:v>-201</c:v>
                </c:pt>
                <c:pt idx="6">
                  <c:v>-207</c:v>
                </c:pt>
                <c:pt idx="7">
                  <c:v>-314</c:v>
                </c:pt>
                <c:pt idx="8">
                  <c:v>-363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C1-C64F-963B-A734A7376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90682687"/>
        <c:axId val="590677759"/>
      </c:barChart>
      <c:catAx>
        <c:axId val="590682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90677759"/>
        <c:crosses val="autoZero"/>
        <c:auto val="1"/>
        <c:lblAlgn val="ctr"/>
        <c:lblOffset val="100"/>
        <c:noMultiLvlLbl val="0"/>
      </c:catAx>
      <c:valAx>
        <c:axId val="59067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9068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[Analisis_RRHH.xlsx]Salarios!TablaDinámica12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salario</a:t>
            </a:r>
            <a:r>
              <a:rPr lang="en-US" baseline="0"/>
              <a:t> crecio con los años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Salarios!$D$51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Salarios!$C$52:$C$70</c:f>
              <c:strCache>
                <c:ptCount val="18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</c:strCache>
            </c:strRef>
          </c:cat>
          <c:val>
            <c:numRef>
              <c:f>Salarios!$D$52:$D$70</c:f>
              <c:numCache>
                <c:formatCode>General</c:formatCode>
                <c:ptCount val="18"/>
                <c:pt idx="0">
                  <c:v>53182</c:v>
                </c:pt>
                <c:pt idx="1">
                  <c:v>54085</c:v>
                </c:pt>
                <c:pt idx="2">
                  <c:v>54960</c:v>
                </c:pt>
                <c:pt idx="3">
                  <c:v>55862</c:v>
                </c:pt>
                <c:pt idx="4">
                  <c:v>56841</c:v>
                </c:pt>
                <c:pt idx="5">
                  <c:v>57839</c:v>
                </c:pt>
                <c:pt idx="6">
                  <c:v>58804</c:v>
                </c:pt>
                <c:pt idx="7">
                  <c:v>59759</c:v>
                </c:pt>
                <c:pt idx="8">
                  <c:v>60754</c:v>
                </c:pt>
                <c:pt idx="9">
                  <c:v>61728</c:v>
                </c:pt>
                <c:pt idx="10">
                  <c:v>62681</c:v>
                </c:pt>
                <c:pt idx="11">
                  <c:v>63619</c:v>
                </c:pt>
                <c:pt idx="12">
                  <c:v>64565</c:v>
                </c:pt>
                <c:pt idx="13">
                  <c:v>65540</c:v>
                </c:pt>
                <c:pt idx="14">
                  <c:v>66525</c:v>
                </c:pt>
                <c:pt idx="15">
                  <c:v>68556</c:v>
                </c:pt>
                <c:pt idx="16">
                  <c:v>70695</c:v>
                </c:pt>
                <c:pt idx="17">
                  <c:v>72684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C-2743-9A76-1F8F78AEE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6635455"/>
        <c:axId val="566626495"/>
      </c:barChart>
      <c:catAx>
        <c:axId val="56663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66626495"/>
        <c:crosses val="autoZero"/>
        <c:auto val="1"/>
        <c:lblAlgn val="ctr"/>
        <c:lblOffset val="100"/>
        <c:noMultiLvlLbl val="0"/>
      </c:catAx>
      <c:valAx>
        <c:axId val="56662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6663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[Analisis_RRHH.xlsx]Tendencias !TablaDinámica14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'Tendencias '!$D$1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'Tendencias '!$C$2:$C$18</c:f>
              <c:strCache>
                <c:ptCount val="16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</c:strCache>
            </c:strRef>
          </c:cat>
          <c:val>
            <c:numRef>
              <c:f>'Tendencias '!$D$2:$D$18</c:f>
              <c:numCache>
                <c:formatCode>General</c:formatCode>
                <c:ptCount val="16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41</c:v>
                </c:pt>
                <c:pt idx="4">
                  <c:v>41</c:v>
                </c:pt>
                <c:pt idx="5">
                  <c:v>40</c:v>
                </c:pt>
                <c:pt idx="6">
                  <c:v>39</c:v>
                </c:pt>
                <c:pt idx="7">
                  <c:v>40</c:v>
                </c:pt>
                <c:pt idx="8">
                  <c:v>40</c:v>
                </c:pt>
                <c:pt idx="9">
                  <c:v>41</c:v>
                </c:pt>
                <c:pt idx="10">
                  <c:v>40</c:v>
                </c:pt>
                <c:pt idx="11">
                  <c:v>39</c:v>
                </c:pt>
                <c:pt idx="12">
                  <c:v>39</c:v>
                </c:pt>
                <c:pt idx="13">
                  <c:v>41</c:v>
                </c:pt>
                <c:pt idx="14">
                  <c:v>40</c:v>
                </c:pt>
                <c:pt idx="15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C-374F-8D44-6CFC4247E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9383935"/>
        <c:axId val="569392447"/>
      </c:barChart>
      <c:catAx>
        <c:axId val="56938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69392447"/>
        <c:crosses val="autoZero"/>
        <c:auto val="1"/>
        <c:lblAlgn val="ctr"/>
        <c:lblOffset val="100"/>
        <c:noMultiLvlLbl val="0"/>
      </c:catAx>
      <c:valAx>
        <c:axId val="56939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6938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[Analisis_RRHH.xlsx]Tendencias !TablaDinámica15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'Tendencias '!$D$20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'Tendencias '!$C$21:$C$37</c:f>
              <c:strCache>
                <c:ptCount val="16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</c:strCache>
            </c:strRef>
          </c:cat>
          <c:val>
            <c:numRef>
              <c:f>'Tendencias '!$D$21:$D$37</c:f>
              <c:numCache>
                <c:formatCode>General</c:formatCode>
                <c:ptCount val="16"/>
                <c:pt idx="0">
                  <c:v>35140</c:v>
                </c:pt>
                <c:pt idx="1">
                  <c:v>35500</c:v>
                </c:pt>
                <c:pt idx="2">
                  <c:v>32386</c:v>
                </c:pt>
                <c:pt idx="3">
                  <c:v>29898</c:v>
                </c:pt>
                <c:pt idx="4">
                  <c:v>26373</c:v>
                </c:pt>
                <c:pt idx="5">
                  <c:v>23019</c:v>
                </c:pt>
                <c:pt idx="6">
                  <c:v>19518</c:v>
                </c:pt>
                <c:pt idx="7">
                  <c:v>16740</c:v>
                </c:pt>
                <c:pt idx="8">
                  <c:v>13442</c:v>
                </c:pt>
                <c:pt idx="9">
                  <c:v>9976</c:v>
                </c:pt>
                <c:pt idx="10">
                  <c:v>6343</c:v>
                </c:pt>
                <c:pt idx="11">
                  <c:v>2907</c:v>
                </c:pt>
                <c:pt idx="12">
                  <c:v>-1052</c:v>
                </c:pt>
                <c:pt idx="13">
                  <c:v>-4891</c:v>
                </c:pt>
                <c:pt idx="14">
                  <c:v>-8954</c:v>
                </c:pt>
                <c:pt idx="15">
                  <c:v>-11211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E9-1C47-AF07-8CB753925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90676415"/>
        <c:axId val="588232703"/>
      </c:barChart>
      <c:catAx>
        <c:axId val="590676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88232703"/>
        <c:crosses val="autoZero"/>
        <c:auto val="1"/>
        <c:lblAlgn val="ctr"/>
        <c:lblOffset val="100"/>
        <c:noMultiLvlLbl val="0"/>
      </c:catAx>
      <c:valAx>
        <c:axId val="58823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9067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[Analisis_RRHH.xlsx]destacados !TablaDinámica17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Personas</a:t>
            </a:r>
            <a:r>
              <a:rPr lang="en-US" baseline="0"/>
              <a:t> mas veteranas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'destacados '!$G$1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'destacados '!$F$2:$F$12</c:f>
              <c:strCache>
                <c:ptCount val="10"/>
                <c:pt idx="0">
                  <c:v>Arie</c:v>
                </c:pt>
                <c:pt idx="1">
                  <c:v>DeForest</c:v>
                </c:pt>
                <c:pt idx="2">
                  <c:v>Ebru</c:v>
                </c:pt>
                <c:pt idx="3">
                  <c:v>Isamu</c:v>
                </c:pt>
                <c:pt idx="4">
                  <c:v>Krassimir</c:v>
                </c:pt>
                <c:pt idx="5">
                  <c:v>Margareta</c:v>
                </c:pt>
                <c:pt idx="6">
                  <c:v>Peternela</c:v>
                </c:pt>
                <c:pt idx="7">
                  <c:v>Przemyslawa</c:v>
                </c:pt>
                <c:pt idx="8">
                  <c:v>Shirish</c:v>
                </c:pt>
                <c:pt idx="9">
                  <c:v>Tonny</c:v>
                </c:pt>
              </c:strCache>
            </c:strRef>
          </c:cat>
          <c:val>
            <c:numRef>
              <c:f>'destacados '!$G$2:$G$12</c:f>
              <c:numCache>
                <c:formatCode>General</c:formatCode>
                <c:ptCount val="10"/>
                <c:pt idx="0">
                  <c:v>41</c:v>
                </c:pt>
                <c:pt idx="1">
                  <c:v>41</c:v>
                </c:pt>
                <c:pt idx="2">
                  <c:v>41</c:v>
                </c:pt>
                <c:pt idx="3">
                  <c:v>41</c:v>
                </c:pt>
                <c:pt idx="4">
                  <c:v>41</c:v>
                </c:pt>
                <c:pt idx="5">
                  <c:v>41</c:v>
                </c:pt>
                <c:pt idx="6">
                  <c:v>41</c:v>
                </c:pt>
                <c:pt idx="7">
                  <c:v>41</c:v>
                </c:pt>
                <c:pt idx="8">
                  <c:v>41</c:v>
                </c:pt>
                <c:pt idx="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5-E845-9BBD-B9B56C447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1659135"/>
        <c:axId val="521655551"/>
      </c:barChart>
      <c:catAx>
        <c:axId val="521659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21655551"/>
        <c:crosses val="autoZero"/>
        <c:auto val="1"/>
        <c:lblAlgn val="ctr"/>
        <c:lblOffset val="100"/>
        <c:noMultiLvlLbl val="0"/>
      </c:catAx>
      <c:valAx>
        <c:axId val="52165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2165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[Analisis_RRHH.xlsx]destacados !TablaDinámica18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Mejores</a:t>
            </a:r>
            <a:r>
              <a:rPr lang="en-US" baseline="0"/>
              <a:t> salarios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'destacados '!$G$14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'destacados '!$F$15:$F$25</c:f>
              <c:strCache>
                <c:ptCount val="10"/>
                <c:pt idx="0">
                  <c:v>Tokuyasu</c:v>
                </c:pt>
                <c:pt idx="1">
                  <c:v>Honesty</c:v>
                </c:pt>
                <c:pt idx="2">
                  <c:v>Xiahua</c:v>
                </c:pt>
                <c:pt idx="3">
                  <c:v>Sanjai</c:v>
                </c:pt>
                <c:pt idx="4">
                  <c:v>Tsutomu</c:v>
                </c:pt>
                <c:pt idx="5">
                  <c:v>Willard</c:v>
                </c:pt>
                <c:pt idx="6">
                  <c:v>Lidong</c:v>
                </c:pt>
                <c:pt idx="7">
                  <c:v>Charmane</c:v>
                </c:pt>
                <c:pt idx="8">
                  <c:v>Weijing</c:v>
                </c:pt>
                <c:pt idx="9">
                  <c:v>Weicheng</c:v>
                </c:pt>
              </c:strCache>
            </c:strRef>
          </c:cat>
          <c:val>
            <c:numRef>
              <c:f>'destacados '!$G$15:$G$25</c:f>
              <c:numCache>
                <c:formatCode>General</c:formatCode>
                <c:ptCount val="10"/>
                <c:pt idx="0">
                  <c:v>158220</c:v>
                </c:pt>
                <c:pt idx="1">
                  <c:v>156286</c:v>
                </c:pt>
                <c:pt idx="2">
                  <c:v>155709</c:v>
                </c:pt>
                <c:pt idx="3">
                  <c:v>155513</c:v>
                </c:pt>
                <c:pt idx="4">
                  <c:v>155190</c:v>
                </c:pt>
                <c:pt idx="5">
                  <c:v>154459</c:v>
                </c:pt>
                <c:pt idx="6">
                  <c:v>154376</c:v>
                </c:pt>
                <c:pt idx="7">
                  <c:v>153715</c:v>
                </c:pt>
                <c:pt idx="8">
                  <c:v>152710</c:v>
                </c:pt>
                <c:pt idx="9">
                  <c:v>152687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5-714F-9C4D-06E07134C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664063"/>
        <c:axId val="506060223"/>
      </c:barChart>
      <c:catAx>
        <c:axId val="52166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06060223"/>
        <c:crosses val="autoZero"/>
        <c:auto val="1"/>
        <c:lblAlgn val="ctr"/>
        <c:lblOffset val="100"/>
        <c:noMultiLvlLbl val="0"/>
      </c:catAx>
      <c:valAx>
        <c:axId val="50606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2166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35560</xdr:colOff>
      <xdr:row>0</xdr:row>
      <xdr:rowOff>0</xdr:rowOff>
    </xdr:from>
    <xdr:to>
      <xdr:col>11</xdr:col>
      <xdr:colOff>650240</xdr:colOff>
      <xdr:row>13</xdr:row>
      <xdr:rowOff>101600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80BC0C-EA6A-EF22-2F5A-FB7AB5BD3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25400</xdr:colOff>
      <xdr:row>13</xdr:row>
      <xdr:rowOff>116840</xdr:rowOff>
    </xdr:from>
    <xdr:to>
      <xdr:col>11</xdr:col>
      <xdr:colOff>675640</xdr:colOff>
      <xdr:row>27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3527A68-C414-98AF-4C47-C08BE35E5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</xdr:colOff>
      <xdr:row>27</xdr:row>
      <xdr:rowOff>35560</xdr:rowOff>
    </xdr:from>
    <xdr:to>
      <xdr:col>11</xdr:col>
      <xdr:colOff>690880</xdr:colOff>
      <xdr:row>40</xdr:row>
      <xdr:rowOff>137160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DAF83F-DAEE-D40F-641A-0D2313E87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15</xdr:col>
      <xdr:colOff>789878</xdr:colOff>
      <xdr:row>12</xdr:row>
      <xdr:rowOff>46463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D1E7F2-654A-111D-1727-47924CD96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12</xdr:row>
      <xdr:rowOff>86360</xdr:rowOff>
    </xdr:from>
    <xdr:to>
      <xdr:col>15</xdr:col>
      <xdr:colOff>751840</xdr:colOff>
      <xdr:row>25</xdr:row>
      <xdr:rowOff>187960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EB75D88-15D7-1ED4-83A6-EC0AFD1F3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5080</xdr:colOff>
      <xdr:row>26</xdr:row>
      <xdr:rowOff>35560</xdr:rowOff>
    </xdr:from>
    <xdr:to>
      <xdr:col>15</xdr:col>
      <xdr:colOff>731520</xdr:colOff>
      <xdr:row>39</xdr:row>
      <xdr:rowOff>137160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AD4BB56-A2D6-F193-1F1C-5F1D22E56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1259840</xdr:colOff>
      <xdr:row>50</xdr:row>
      <xdr:rowOff>10160</xdr:rowOff>
    </xdr:from>
    <xdr:to>
      <xdr:col>16</xdr:col>
      <xdr:colOff>0</xdr:colOff>
      <xdr:row>69</xdr:row>
      <xdr:rowOff>162560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17BEFD0-3CAE-D819-DE94-399C4973E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1917700</xdr:colOff>
      <xdr:row>0</xdr:row>
      <xdr:rowOff>38100</xdr:rowOff>
    </xdr:from>
    <xdr:to>
      <xdr:col>14</xdr:col>
      <xdr:colOff>25400</xdr:colOff>
      <xdr:row>18</xdr:row>
      <xdr:rowOff>25400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BE2A94-733C-99B0-E026-FB81C0BA5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901700</xdr:colOff>
      <xdr:row>19</xdr:row>
      <xdr:rowOff>19050</xdr:rowOff>
    </xdr:from>
    <xdr:to>
      <xdr:col>14</xdr:col>
      <xdr:colOff>38100</xdr:colOff>
      <xdr:row>36</xdr:row>
      <xdr:rowOff>177800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05A5B51-767F-F352-2D98-D8BC6BA47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0</xdr:row>
      <xdr:rowOff>31750</xdr:rowOff>
    </xdr:from>
    <xdr:to>
      <xdr:col>15</xdr:col>
      <xdr:colOff>876300</xdr:colOff>
      <xdr:row>12</xdr:row>
      <xdr:rowOff>12700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D756B08-D52E-1DCE-8DB0-7495D79ED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13</xdr:row>
      <xdr:rowOff>19050</xdr:rowOff>
    </xdr:from>
    <xdr:to>
      <xdr:col>16</xdr:col>
      <xdr:colOff>0</xdr:colOff>
      <xdr:row>26</xdr:row>
      <xdr:rowOff>120650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EB6F066-B34B-CEE3-D989-D1A29E4FA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Daniel Raudes Gonzalez" refreshedDate="46186.569273842593" createdVersion="8" refreshedVersion="8" minRefreshableVersion="3" recordCount="9" xr:uid="{222DB4AC-71A6-7E45-9341-FB2583C4D94E}">
  <cacheSource type="worksheet">
    <worksheetSource name="headcount_depto"/>
  </cacheSource>
  <cacheFields count="2">
    <cacheField name="dept_name" numFmtId="0">
      <sharedItems count="9">
        <s v="Development"/>
        <s v="Sales"/>
        <s v="Production"/>
        <s v="Human Resources"/>
        <s v="Research"/>
        <s v="Quality Management"/>
        <s v="Marketing"/>
        <s v="Customer Service"/>
        <s v="Finance"/>
      </sharedItems>
    </cacheField>
    <cacheField name="Activos" numFmtId="0">
      <sharedItems containsSemiMixedTypes="0" containsString="0" containsNumber="1" containsInteger="1" minValue="12437" maxValue="613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Daniel Raudes Gonzalez" refreshedDate="46186.569273958332" createdVersion="8" refreshedVersion="8" minRefreshableVersion="3" recordCount="9" xr:uid="{A809ECC1-9CDB-3648-80CA-9FD1E616A85A}">
  <cacheSource type="worksheet">
    <worksheetSource name="genero_dept13"/>
  </cacheSource>
  <cacheFields count="3">
    <cacheField name="dept_name" numFmtId="0">
      <sharedItems count="9">
        <s v="Development"/>
        <s v="Sales"/>
        <s v="Production"/>
        <s v="Human Resources"/>
        <s v="Research"/>
        <s v="Quality Management"/>
        <s v="Marketing"/>
        <s v="Customer Service"/>
        <s v="Finance"/>
      </sharedItems>
    </cacheField>
    <cacheField name="Masculino" numFmtId="0">
      <sharedItems containsSemiMixedTypes="0" containsString="0" containsNumber="1" containsInteger="1" minValue="7423" maxValue="36853"/>
    </cacheField>
    <cacheField name="Femenino" numFmtId="0">
      <sharedItems containsSemiMixedTypes="0" containsString="0" containsNumber="1" containsInteger="1" minValue="5014" maxValue="245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Daniel Raudes Gonzalez" refreshedDate="46186.569273958332" createdVersion="8" refreshedVersion="8" minRefreshableVersion="3" recordCount="7" xr:uid="{9FD69941-546D-4A44-97EB-BA4A0DFF56D7}">
  <cacheSource type="worksheet">
    <worksheetSource name="cargos14"/>
  </cacheSource>
  <cacheFields count="2">
    <cacheField name="title" numFmtId="0">
      <sharedItems count="7">
        <s v="Senior Engineer"/>
        <s v="Senior Staff"/>
        <s v="Engineer"/>
        <s v="Staff"/>
        <s v="Technique Leader"/>
        <s v="Assistant Engineer"/>
        <s v="Manager"/>
      </sharedItems>
    </cacheField>
    <cacheField name="cargos" numFmtId="0">
      <sharedItems containsSemiMixedTypes="0" containsString="0" containsNumber="1" containsInteger="1" minValue="9" maxValue="859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Daniel Raudes Gonzalez" refreshedDate="46187.571392708334" createdVersion="8" refreshedVersion="8" minRefreshableVersion="3" recordCount="9" xr:uid="{9DCB9602-7A66-4C4F-A589-71192717FE3B}">
  <cacheSource type="worksheet">
    <worksheetSource name="salario_depto__310"/>
  </cacheSource>
  <cacheFields count="4">
    <cacheField name="dept_name" numFmtId="0">
      <sharedItems count="9">
        <s v="Sales"/>
        <s v="Marketing"/>
        <s v="Finance"/>
        <s v="Research"/>
        <s v="Production"/>
        <s v="Development"/>
        <s v="Customer Service"/>
        <s v="Quality Management"/>
        <s v="Human Resources"/>
      </sharedItems>
    </cacheField>
    <cacheField name="Promedio" numFmtId="0">
      <sharedItems containsSemiMixedTypes="0" containsString="0" containsNumber="1" containsInteger="1" minValue="63922" maxValue="88853"/>
    </cacheField>
    <cacheField name="S_MIN" numFmtId="0">
      <sharedItems containsSemiMixedTypes="0" containsString="0" containsNumber="1" containsInteger="1" minValue="38623" maxValue="39821"/>
    </cacheField>
    <cacheField name="S_MAX" numFmtId="0">
      <sharedItems containsSemiMixedTypes="0" containsString="0" containsNumber="1" containsInteger="1" minValue="130211" maxValue="1582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Daniel Raudes Gonzalez" refreshedDate="46187.958911226851" createdVersion="8" refreshedVersion="8" minRefreshableVersion="3" recordCount="7" xr:uid="{33642709-C565-674F-B2F6-453792D1FE1E}">
  <cacheSource type="worksheet">
    <worksheetSource name="salario_cargo__315"/>
  </cacheSource>
  <cacheFields count="4">
    <cacheField name="title" numFmtId="0">
      <sharedItems count="7">
        <s v="Senior Staff"/>
        <s v="Manager"/>
        <s v="Senior Engineer"/>
        <s v="Technique Leader"/>
        <s v="Staff"/>
        <s v="Engineer"/>
        <s v="Assistant Engineer"/>
      </sharedItems>
    </cacheField>
    <cacheField name="Promedio" numFmtId="0">
      <sharedItems containsSemiMixedTypes="0" containsString="0" containsNumber="1" containsInteger="1" minValue="57318" maxValue="80706"/>
    </cacheField>
    <cacheField name="S_MIN" numFmtId="0">
      <sharedItems containsSemiMixedTypes="0" containsString="0" containsNumber="1" containsInteger="1" minValue="38623" maxValue="56654"/>
    </cacheField>
    <cacheField name="S_MAX" numFmtId="0">
      <sharedItems containsSemiMixedTypes="0" containsString="0" containsNumber="1" containsInteger="1" minValue="106491" maxValue="1582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Daniel Raudes Gonzalez" refreshedDate="46188.605290277781" createdVersion="8" refreshedVersion="8" minRefreshableVersion="3" recordCount="9" xr:uid="{CFCAF8C6-CF7C-0446-8DEE-ADA0E324FAB4}">
  <cacheSource type="worksheet">
    <worksheetSource name="brecha_depto__416"/>
  </cacheSource>
  <cacheFields count="5">
    <cacheField name="dept_name" numFmtId="0">
      <sharedItems count="9">
        <s v="Marketing"/>
        <s v="Production"/>
        <s v="Development"/>
        <s v="Sales"/>
        <s v="Research"/>
        <s v="Customer Service"/>
        <s v="Quality Management"/>
        <s v="Finance"/>
        <s v="Human Resources"/>
      </sharedItems>
    </cacheField>
    <cacheField name="Promedio_Masculino" numFmtId="0">
      <sharedItems containsSemiMixedTypes="0" containsString="0" containsNumber="1" containsInteger="1" minValue="63777" maxValue="88864"/>
    </cacheField>
    <cacheField name="Promedio_Femenino" numFmtId="0">
      <sharedItems containsSemiMixedTypes="0" containsString="0" containsNumber="1" containsInteger="1" minValue="64140" maxValue="88836"/>
    </cacheField>
    <cacheField name="Diferencia" numFmtId="0">
      <sharedItems containsSemiMixedTypes="0" containsString="0" containsNumber="1" containsInteger="1" minValue="-363" maxValue="594"/>
    </cacheField>
    <cacheField name="Porcentaje_Diferencia" numFmtId="0">
      <sharedItems containsSemiMixedTypes="0" containsString="0" containsNumber="1" containsInteger="1" minValue="-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Daniel Raudes Gonzalez" refreshedDate="46188.606877199076" createdVersion="8" refreshedVersion="8" minRefreshableVersion="3" recordCount="18" xr:uid="{56C4EAEE-9F22-A448-8520-D64DE5CD5C58}">
  <cacheSource type="worksheet">
    <worksheetSource name="salario_anio__218"/>
  </cacheSource>
  <cacheFields count="2">
    <cacheField name="Año" numFmtId="0">
      <sharedItems containsSemiMixedTypes="0" containsString="0" containsNumber="1" containsInteger="1" minValue="1985" maxValue="2002" count="18"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</sharedItems>
    </cacheField>
    <cacheField name="Promedio" numFmtId="0">
      <sharedItems containsSemiMixedTypes="0" containsString="0" containsNumber="1" containsInteger="1" minValue="53182" maxValue="726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Daniel Raudes Gonzalez" refreshedDate="46188.685531134259" createdVersion="8" refreshedVersion="8" minRefreshableVersion="3" recordCount="16" xr:uid="{227A9F31-E598-B945-943B-6A016B3CBE3F}">
  <cacheSource type="worksheet">
    <worksheetSource name="mujeres_anio__2"/>
  </cacheSource>
  <cacheFields count="2">
    <cacheField name="year_d" numFmtId="0">
      <sharedItems containsSemiMixedTypes="0" containsString="0" containsNumber="1" containsInteger="1" minValue="1985" maxValue="2000" count="16"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</sharedItems>
    </cacheField>
    <cacheField name="porcentaje_mujeres" numFmtId="0">
      <sharedItems containsSemiMixedTypes="0" containsString="0" containsNumber="1" containsInteger="1" minValue="39" maxValue="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Daniel Raudes Gonzalez" refreshedDate="46188.686085300928" createdVersion="8" refreshedVersion="8" minRefreshableVersion="3" recordCount="16" xr:uid="{9C1CE3CA-6B24-D94F-BA0E-B54D0D4CB7ED}">
  <cacheSource type="worksheet">
    <worksheetSource name="balance_anio20"/>
  </cacheSource>
  <cacheFields count="2">
    <cacheField name="balance" numFmtId="0">
      <sharedItems containsSemiMixedTypes="0" containsString="0" containsNumber="1" containsInteger="1" minValue="-11211" maxValue="35500" count="16">
        <n v="35500"/>
        <n v="35140"/>
        <n v="32386"/>
        <n v="29898"/>
        <n v="26373"/>
        <n v="23019"/>
        <n v="19518"/>
        <n v="16740"/>
        <n v="13442"/>
        <n v="9976"/>
        <n v="6343"/>
        <n v="2907"/>
        <n v="-1052"/>
        <n v="-4891"/>
        <n v="-8954"/>
        <n v="-11211"/>
      </sharedItems>
    </cacheField>
    <cacheField name="year" numFmtId="0">
      <sharedItems containsSemiMixedTypes="0" containsString="0" containsNumber="1" containsInteger="1" minValue="1985" maxValue="2000" count="16">
        <n v="1986"/>
        <n v="1985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Daniel Raudes Gonzalez" refreshedDate="46189.501512499999" createdVersion="8" refreshedVersion="8" minRefreshableVersion="3" recordCount="10" xr:uid="{CE92A881-10A8-BF4B-987D-1387CDAEFFAA}">
  <cacheSource type="worksheet">
    <worksheetSource name="top_veteranos__223"/>
  </cacheSource>
  <cacheFields count="5">
    <cacheField name="first_name" numFmtId="0">
      <sharedItems count="10">
        <s v="Tonny"/>
        <s v="Arie"/>
        <s v="Krassimir"/>
        <s v="Shirish"/>
        <s v="Przemyslawa"/>
        <s v="Ebru"/>
        <s v="Margareta"/>
        <s v="Peternela"/>
        <s v="DeForest"/>
        <s v="Isamu"/>
      </sharedItems>
    </cacheField>
    <cacheField name="last_name" numFmtId="0">
      <sharedItems/>
    </cacheField>
    <cacheField name="hire_date" numFmtId="14">
      <sharedItems containsSemiMixedTypes="0" containsNonDate="0" containsDate="1" containsString="0" minDate="1985-01-01T00:00:00" maxDate="1985-01-15T00:00:00"/>
    </cacheField>
    <cacheField name="dept_name" numFmtId="0">
      <sharedItems/>
    </cacheField>
    <cacheField name="anios_trabajados" numFmtId="0">
      <sharedItems containsSemiMixedTypes="0" containsString="0" containsNumber="1" containsInteger="1" minValue="41" maxValue="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Daniel Raudes Gonzalez" refreshedDate="46189.503276736112" createdVersion="8" refreshedVersion="8" minRefreshableVersion="3" recordCount="10" xr:uid="{879D6296-3573-DB4E-B79E-B38342A20287}">
  <cacheSource type="worksheet">
    <worksheetSource name="top_salarios__224"/>
  </cacheSource>
  <cacheFields count="5">
    <cacheField name="first_name" numFmtId="0">
      <sharedItems count="10">
        <s v="Tokuyasu"/>
        <s v="Honesty"/>
        <s v="Xiahua"/>
        <s v="Sanjai"/>
        <s v="Tsutomu"/>
        <s v="Willard"/>
        <s v="Lidong"/>
        <s v="Charmane"/>
        <s v="Weijing"/>
        <s v="Weicheng"/>
      </sharedItems>
    </cacheField>
    <cacheField name="last_name" numFmtId="0">
      <sharedItems/>
    </cacheField>
    <cacheField name="dept_name" numFmtId="0">
      <sharedItems/>
    </cacheField>
    <cacheField name="title" numFmtId="0">
      <sharedItems/>
    </cacheField>
    <cacheField name="salary" numFmtId="0">
      <sharedItems containsSemiMixedTypes="0" containsString="0" containsNumber="1" containsInteger="1" minValue="152687" maxValue="1582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61386"/>
  </r>
  <r>
    <x v="1"/>
    <n v="37701"/>
  </r>
  <r>
    <x v="2"/>
    <n v="53304"/>
  </r>
  <r>
    <x v="3"/>
    <n v="12898"/>
  </r>
  <r>
    <x v="4"/>
    <n v="15441"/>
  </r>
  <r>
    <x v="5"/>
    <n v="14546"/>
  </r>
  <r>
    <x v="6"/>
    <n v="14842"/>
  </r>
  <r>
    <x v="7"/>
    <n v="17569"/>
  </r>
  <r>
    <x v="8"/>
    <n v="1243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36853"/>
    <n v="24533"/>
  </r>
  <r>
    <x v="1"/>
    <n v="22702"/>
    <n v="14999"/>
  </r>
  <r>
    <x v="2"/>
    <n v="31911"/>
    <n v="21393"/>
  </r>
  <r>
    <x v="3"/>
    <n v="7751"/>
    <n v="5147"/>
  </r>
  <r>
    <x v="4"/>
    <n v="9260"/>
    <n v="6181"/>
  </r>
  <r>
    <x v="5"/>
    <n v="8674"/>
    <n v="5872"/>
  </r>
  <r>
    <x v="6"/>
    <n v="8978"/>
    <n v="5864"/>
  </r>
  <r>
    <x v="7"/>
    <n v="10562"/>
    <n v="7007"/>
  </r>
  <r>
    <x v="8"/>
    <n v="7423"/>
    <n v="501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85939"/>
  </r>
  <r>
    <x v="1"/>
    <n v="82024"/>
  </r>
  <r>
    <x v="2"/>
    <n v="30983"/>
  </r>
  <r>
    <x v="3"/>
    <n v="25526"/>
  </r>
  <r>
    <x v="4"/>
    <n v="12055"/>
  </r>
  <r>
    <x v="5"/>
    <n v="3588"/>
  </r>
  <r>
    <x v="6"/>
    <n v="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88853"/>
    <n v="39426"/>
    <n v="158220"/>
  </r>
  <r>
    <x v="1"/>
    <n v="80059"/>
    <n v="39821"/>
    <n v="145128"/>
  </r>
  <r>
    <x v="2"/>
    <n v="78560"/>
    <n v="39012"/>
    <n v="142395"/>
  </r>
  <r>
    <x v="3"/>
    <n v="67913"/>
    <n v="39186"/>
    <n v="130211"/>
  </r>
  <r>
    <x v="4"/>
    <n v="67843"/>
    <n v="38623"/>
    <n v="138273"/>
  </r>
  <r>
    <x v="5"/>
    <n v="67658"/>
    <n v="39036"/>
    <n v="144434"/>
  </r>
  <r>
    <x v="6"/>
    <n v="67285"/>
    <n v="39373"/>
    <n v="144866"/>
  </r>
  <r>
    <x v="7"/>
    <n v="65442"/>
    <n v="38942"/>
    <n v="132103"/>
  </r>
  <r>
    <x v="8"/>
    <n v="63922"/>
    <n v="38936"/>
    <n v="14195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80706"/>
    <n v="39012"/>
    <n v="158220"/>
  </r>
  <r>
    <x v="1"/>
    <n v="77724"/>
    <n v="56654"/>
    <n v="106491"/>
  </r>
  <r>
    <x v="2"/>
    <n v="70823"/>
    <n v="39285"/>
    <n v="140784"/>
  </r>
  <r>
    <x v="3"/>
    <n v="67507"/>
    <n v="38623"/>
    <n v="144434"/>
  </r>
  <r>
    <x v="4"/>
    <n v="67331"/>
    <n v="38936"/>
    <n v="137875"/>
  </r>
  <r>
    <x v="5"/>
    <n v="59603"/>
    <n v="38942"/>
    <n v="130939"/>
  </r>
  <r>
    <x v="6"/>
    <n v="57318"/>
    <n v="39469"/>
    <n v="11763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80293"/>
    <n v="79700"/>
    <n v="594"/>
    <n v="1"/>
  </r>
  <r>
    <x v="1"/>
    <n v="67921"/>
    <n v="67728"/>
    <n v="192"/>
    <n v="0"/>
  </r>
  <r>
    <x v="2"/>
    <n v="67713"/>
    <n v="67576"/>
    <n v="137"/>
    <n v="0"/>
  </r>
  <r>
    <x v="3"/>
    <n v="88864"/>
    <n v="88836"/>
    <n v="28"/>
    <n v="0"/>
  </r>
  <r>
    <x v="4"/>
    <n v="67848"/>
    <n v="68012"/>
    <n v="-164"/>
    <n v="0"/>
  </r>
  <r>
    <x v="5"/>
    <n v="67203"/>
    <n v="67409"/>
    <n v="-207"/>
    <n v="0"/>
  </r>
  <r>
    <x v="6"/>
    <n v="65361"/>
    <n v="65562"/>
    <n v="-201"/>
    <n v="0"/>
  </r>
  <r>
    <x v="7"/>
    <n v="78433"/>
    <n v="78747"/>
    <n v="-314"/>
    <n v="0"/>
  </r>
  <r>
    <x v="8"/>
    <n v="63777"/>
    <n v="64140"/>
    <n v="-363"/>
    <n v="-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n v="53182"/>
  </r>
  <r>
    <x v="1"/>
    <n v="54085"/>
  </r>
  <r>
    <x v="2"/>
    <n v="54960"/>
  </r>
  <r>
    <x v="3"/>
    <n v="55862"/>
  </r>
  <r>
    <x v="4"/>
    <n v="56841"/>
  </r>
  <r>
    <x v="5"/>
    <n v="57839"/>
  </r>
  <r>
    <x v="6"/>
    <n v="58804"/>
  </r>
  <r>
    <x v="7"/>
    <n v="59759"/>
  </r>
  <r>
    <x v="8"/>
    <n v="60754"/>
  </r>
  <r>
    <x v="9"/>
    <n v="61728"/>
  </r>
  <r>
    <x v="10"/>
    <n v="62681"/>
  </r>
  <r>
    <x v="11"/>
    <n v="63619"/>
  </r>
  <r>
    <x v="12"/>
    <n v="64565"/>
  </r>
  <r>
    <x v="13"/>
    <n v="65540"/>
  </r>
  <r>
    <x v="14"/>
    <n v="66525"/>
  </r>
  <r>
    <x v="15"/>
    <n v="68556"/>
  </r>
  <r>
    <x v="16"/>
    <n v="70695"/>
  </r>
  <r>
    <x v="17"/>
    <n v="72684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40"/>
  </r>
  <r>
    <x v="1"/>
    <n v="40"/>
  </r>
  <r>
    <x v="2"/>
    <n v="40"/>
  </r>
  <r>
    <x v="3"/>
    <n v="41"/>
  </r>
  <r>
    <x v="4"/>
    <n v="41"/>
  </r>
  <r>
    <x v="5"/>
    <n v="40"/>
  </r>
  <r>
    <x v="6"/>
    <n v="39"/>
  </r>
  <r>
    <x v="7"/>
    <n v="40"/>
  </r>
  <r>
    <x v="8"/>
    <n v="40"/>
  </r>
  <r>
    <x v="9"/>
    <n v="41"/>
  </r>
  <r>
    <x v="10"/>
    <n v="40"/>
  </r>
  <r>
    <x v="11"/>
    <n v="39"/>
  </r>
  <r>
    <x v="12"/>
    <n v="39"/>
  </r>
  <r>
    <x v="13"/>
    <n v="41"/>
  </r>
  <r>
    <x v="14"/>
    <n v="40"/>
  </r>
  <r>
    <x v="15"/>
    <n v="54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Butterworth"/>
    <d v="1985-01-01T00:00:00"/>
    <s v="Customer Service"/>
    <n v="41"/>
  </r>
  <r>
    <x v="1"/>
    <s v="Staelin"/>
    <d v="1985-01-01T00:00:00"/>
    <s v="Research"/>
    <n v="41"/>
  </r>
  <r>
    <x v="2"/>
    <s v="Wegerle"/>
    <d v="1985-01-01T00:00:00"/>
    <s v="Production"/>
    <n v="41"/>
  </r>
  <r>
    <x v="3"/>
    <s v="Ossenbruggen"/>
    <d v="1985-01-01T00:00:00"/>
    <s v="Human Resources"/>
    <n v="41"/>
  </r>
  <r>
    <x v="4"/>
    <s v="Kaelbling"/>
    <d v="1985-01-01T00:00:00"/>
    <s v="Sales"/>
    <n v="41"/>
  </r>
  <r>
    <x v="5"/>
    <s v="Alpin"/>
    <d v="1985-01-01T00:00:00"/>
    <s v="Finance"/>
    <n v="41"/>
  </r>
  <r>
    <x v="6"/>
    <s v="Markovitch"/>
    <d v="1985-01-01T00:00:00"/>
    <s v="Marketing"/>
    <n v="41"/>
  </r>
  <r>
    <x v="7"/>
    <s v="Onuegbe"/>
    <d v="1985-01-01T00:00:00"/>
    <s v="Quality Management"/>
    <n v="41"/>
  </r>
  <r>
    <x v="8"/>
    <s v="Hagimont"/>
    <d v="1985-01-01T00:00:00"/>
    <s v="Development"/>
    <n v="41"/>
  </r>
  <r>
    <x v="9"/>
    <s v="Legleitner"/>
    <d v="1985-01-14T00:00:00"/>
    <s v="Finance"/>
    <n v="4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Pesch"/>
    <s v="Sales"/>
    <s v="Senior Staff"/>
    <n v="158220"/>
  </r>
  <r>
    <x v="1"/>
    <s v="Mukaidono"/>
    <s v="Sales"/>
    <s v="Senior Staff"/>
    <n v="156286"/>
  </r>
  <r>
    <x v="2"/>
    <s v="Whitcomb"/>
    <s v="Sales"/>
    <s v="Senior Staff"/>
    <n v="155709"/>
  </r>
  <r>
    <x v="3"/>
    <s v="Luders"/>
    <s v="Sales"/>
    <s v="Senior Staff"/>
    <n v="155513"/>
  </r>
  <r>
    <x v="4"/>
    <s v="Alameldin"/>
    <s v="Sales"/>
    <s v="Senior Staff"/>
    <n v="155190"/>
  </r>
  <r>
    <x v="5"/>
    <s v="Baca"/>
    <s v="Sales"/>
    <s v="Senior Staff"/>
    <n v="154459"/>
  </r>
  <r>
    <x v="6"/>
    <s v="Meriste"/>
    <s v="Sales"/>
    <s v="Senior Staff"/>
    <n v="154376"/>
  </r>
  <r>
    <x v="7"/>
    <s v="Griswold"/>
    <s v="Sales"/>
    <s v="Senior Staff"/>
    <n v="153715"/>
  </r>
  <r>
    <x v="8"/>
    <s v="Chenoweth"/>
    <s v="Sales"/>
    <s v="Senior Staff"/>
    <n v="152710"/>
  </r>
  <r>
    <x v="9"/>
    <s v="Hatcliff"/>
    <s v="Sales"/>
    <s v="Senior Staff"/>
    <n v="1526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1085F0-32AD-D24E-BA32-6ABF035A003E}" name="TablaDinámica3" cacheId="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C28:D36" firstHeaderRow="1" firstDataRow="1" firstDataCol="1"/>
  <pivotFields count="2">
    <pivotField axis="axisRow" showAll="0" sortType="descending">
      <items count="8">
        <item x="5"/>
        <item x="2"/>
        <item x="6"/>
        <item x="0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8">
    <i>
      <x v="3"/>
    </i>
    <i>
      <x v="4"/>
    </i>
    <i>
      <x v="1"/>
    </i>
    <i>
      <x v="5"/>
    </i>
    <i>
      <x v="6"/>
    </i>
    <i>
      <x/>
    </i>
    <i>
      <x v="2"/>
    </i>
    <i t="grand">
      <x/>
    </i>
  </rowItems>
  <colItems count="1">
    <i/>
  </colItems>
  <dataFields count="1">
    <dataField name="Suma de cargo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1B8E1-DE11-9445-A542-5D37B255C693}" name="TablaDinámica2" cacheId="6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D16:F26" firstHeaderRow="0" firstDataRow="1" firstDataCol="1"/>
  <pivotFields count="3">
    <pivotField axis="axisRow" showAll="0" sortType="descending">
      <items count="10">
        <item x="7"/>
        <item x="0"/>
        <item x="8"/>
        <item x="3"/>
        <item x="6"/>
        <item x="2"/>
        <item x="5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dataField="1" showAll="0"/>
  </pivotFields>
  <rowFields count="1">
    <field x="0"/>
  </rowFields>
  <rowItems count="10">
    <i>
      <x v="1"/>
    </i>
    <i>
      <x v="5"/>
    </i>
    <i>
      <x v="8"/>
    </i>
    <i>
      <x/>
    </i>
    <i>
      <x v="7"/>
    </i>
    <i>
      <x v="6"/>
    </i>
    <i>
      <x v="4"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Masculino" fld="1" baseField="0" baseItem="0"/>
    <dataField name="Suma de Femenino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273AF-13D0-9944-8B82-D331C063FC4F}" name="TablaDinámica1" cacheId="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C1:D11" firstHeaderRow="1" firstDataRow="1" firstDataCol="1"/>
  <pivotFields count="2">
    <pivotField axis="axisRow" showAll="0" sortType="descending">
      <items count="10">
        <item x="7"/>
        <item x="0"/>
        <item x="8"/>
        <item x="3"/>
        <item x="6"/>
        <item x="2"/>
        <item x="5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0">
    <i>
      <x v="1"/>
    </i>
    <i>
      <x v="5"/>
    </i>
    <i>
      <x v="8"/>
    </i>
    <i>
      <x/>
    </i>
    <i>
      <x v="7"/>
    </i>
    <i>
      <x v="4"/>
    </i>
    <i>
      <x v="6"/>
    </i>
    <i>
      <x v="3"/>
    </i>
    <i>
      <x v="2"/>
    </i>
    <i t="grand">
      <x/>
    </i>
  </rowItems>
  <colItems count="1">
    <i/>
  </colItems>
  <dataFields count="1">
    <dataField name="Suma de Activos" fld="1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83A7B-A426-8449-9238-24D0A1340A00}" name="TablaDinámica12" cacheId="8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C51:D70" firstHeaderRow="1" firstDataRow="1" firstDataCol="1"/>
  <pivotFields count="2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a de Promedio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304F5-6D75-A646-81AA-A431E61F0C6E}" name="TablaDinámica11" cacheId="7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">
  <location ref="A38:B48" firstHeaderRow="1" firstDataRow="1" firstDataCol="1"/>
  <pivotFields count="5">
    <pivotField axis="axisRow" showAll="0" sortType="descending">
      <items count="10">
        <item x="5"/>
        <item x="2"/>
        <item x="7"/>
        <item x="8"/>
        <item x="0"/>
        <item x="1"/>
        <item x="6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0"/>
  </rowFields>
  <rowItems count="10">
    <i>
      <x v="4"/>
    </i>
    <i>
      <x v="5"/>
    </i>
    <i>
      <x v="1"/>
    </i>
    <i>
      <x v="8"/>
    </i>
    <i>
      <x v="7"/>
    </i>
    <i>
      <x v="6"/>
    </i>
    <i>
      <x/>
    </i>
    <i>
      <x v="2"/>
    </i>
    <i>
      <x v="3"/>
    </i>
    <i t="grand">
      <x/>
    </i>
  </rowItems>
  <colItems count="1">
    <i/>
  </colItems>
  <dataFields count="1">
    <dataField name="Suma de Diferencia" fld="3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DC4449-0641-804B-9D69-19A2572294E0}" name="TablaDinámica10" cacheId="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E13:F21" firstHeaderRow="1" firstDataRow="1" firstDataCol="1"/>
  <pivotFields count="4">
    <pivotField axis="axisRow" showAll="0" sortType="descending">
      <items count="8">
        <item x="6"/>
        <item x="5"/>
        <item x="1"/>
        <item x="2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0"/>
  </rowFields>
  <rowItems count="8">
    <i>
      <x v="4"/>
    </i>
    <i>
      <x v="2"/>
    </i>
    <i>
      <x v="3"/>
    </i>
    <i>
      <x v="6"/>
    </i>
    <i>
      <x v="5"/>
    </i>
    <i>
      <x v="1"/>
    </i>
    <i>
      <x/>
    </i>
    <i t="grand">
      <x/>
    </i>
  </rowItems>
  <colItems count="1">
    <i/>
  </colItems>
  <dataFields count="1">
    <dataField name="Suma de Promedio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B2813-4318-D14F-B356-BDF89A5109FF}" name="TablaDinámica9" cacheId="6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E1:F11" firstHeaderRow="1" firstDataRow="1" firstDataCol="1"/>
  <pivotFields count="4">
    <pivotField axis="axisRow" showAll="0" sortType="descending">
      <items count="10">
        <item x="6"/>
        <item x="5"/>
        <item x="2"/>
        <item x="8"/>
        <item x="1"/>
        <item x="4"/>
        <item x="7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0"/>
  </rowFields>
  <rowItems count="10">
    <i>
      <x v="8"/>
    </i>
    <i>
      <x v="4"/>
    </i>
    <i>
      <x v="2"/>
    </i>
    <i>
      <x v="7"/>
    </i>
    <i>
      <x v="5"/>
    </i>
    <i>
      <x v="1"/>
    </i>
    <i>
      <x/>
    </i>
    <i>
      <x v="6"/>
    </i>
    <i>
      <x v="3"/>
    </i>
    <i t="grand">
      <x/>
    </i>
  </rowItems>
  <colItems count="1">
    <i/>
  </colItems>
  <dataFields count="1">
    <dataField name="Suma de Promedio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247A6-E50C-C04C-A5BE-8AC3076665C1}" name="TablaDinámica15" cacheId="9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C20:D37" firstHeaderRow="1" firstDataRow="1" firstDataCol="1"/>
  <pivotFields count="2">
    <pivotField dataField="1" showAll="0">
      <items count="17"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7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a de balance" fld="0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468DD-4E2A-7B47-BCFA-C7EEA5A4D9C0}" name="TablaDinámica14" cacheId="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C1:D18" firstHeaderRow="1" firstDataRow="1" firstDataCol="1"/>
  <pivotFields count="2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a de porcentaje_mujer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B1C34-F0C8-F245-8EA5-762D37959FB3}" name="TablaDinámica18" cacheId="1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F14:G25" firstHeaderRow="1" firstDataRow="1" firstDataCol="1"/>
  <pivotFields count="5">
    <pivotField axis="axisRow" showAll="0" sortType="descending">
      <items count="11">
        <item x="7"/>
        <item x="1"/>
        <item x="6"/>
        <item x="3"/>
        <item x="0"/>
        <item x="4"/>
        <item x="9"/>
        <item x="8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0"/>
  </rowFields>
  <rowItems count="11">
    <i>
      <x v="4"/>
    </i>
    <i>
      <x v="1"/>
    </i>
    <i>
      <x v="9"/>
    </i>
    <i>
      <x v="3"/>
    </i>
    <i>
      <x v="5"/>
    </i>
    <i>
      <x v="8"/>
    </i>
    <i>
      <x v="2"/>
    </i>
    <i>
      <x/>
    </i>
    <i>
      <x v="7"/>
    </i>
    <i>
      <x v="6"/>
    </i>
    <i t="grand">
      <x/>
    </i>
  </rowItems>
  <colItems count="1">
    <i/>
  </colItems>
  <dataFields count="1">
    <dataField name="Suma de salar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D0094-07C3-8B44-A73E-7C76654EE05B}" name="TablaDinámica17" cacheId="1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F1:G12" firstHeaderRow="1" firstDataRow="1" firstDataCol="1"/>
  <pivotFields count="5">
    <pivotField axis="axisRow" showAll="0">
      <items count="11">
        <item x="1"/>
        <item x="8"/>
        <item x="5"/>
        <item x="9"/>
        <item x="2"/>
        <item x="6"/>
        <item x="7"/>
        <item x="4"/>
        <item x="3"/>
        <item x="0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anios_trabajado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3" xr16:uid="{0952D3AA-7DD5-8B4F-9AEE-3DD83D9F1A6F}" autoFormatId="16" applyNumberFormats="0" applyBorderFormats="0" applyFontFormats="0" applyPatternFormats="0" applyAlignmentFormats="0" applyWidthHeightFormats="0">
  <queryTableRefresh nextId="3">
    <queryTableFields count="2">
      <queryTableField id="1" name="dept_name" tableColumnId="1"/>
      <queryTableField id="2" name="Activo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2" xr16:uid="{C9AE0EED-799B-BA46-95F4-260B300058EE}" autoFormatId="16" applyNumberFormats="0" applyBorderFormats="0" applyFontFormats="0" applyPatternFormats="0" applyAlignmentFormats="0" applyWidthHeightFormats="0">
  <queryTableRefresh nextId="4">
    <queryTableFields count="3">
      <queryTableField id="1" name="dept_name" tableColumnId="1"/>
      <queryTableField id="2" name="Masculino" tableColumnId="2"/>
      <queryTableField id="3" name="Femenino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0" xr16:uid="{DC3EC470-2EB8-B44D-A7B9-AA706B9E9766}" autoFormatId="16" applyNumberFormats="0" applyBorderFormats="0" applyFontFormats="0" applyPatternFormats="0" applyAlignmentFormats="0" applyWidthHeightFormats="0">
  <queryTableRefresh nextId="3">
    <queryTableFields count="2">
      <queryTableField id="1" name="title" tableColumnId="1"/>
      <queryTableField id="2" name="cargo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8" connectionId="26" xr16:uid="{E494E0CD-D8D3-064D-80AF-F24AC51CC1E5}" autoFormatId="16" applyNumberFormats="0" applyBorderFormats="0" applyFontFormats="0" applyPatternFormats="0" applyAlignmentFormats="0" applyWidthHeightFormats="0">
  <queryTableRefresh nextId="5">
    <queryTableFields count="4">
      <queryTableField id="1" name="dept_name" tableColumnId="1"/>
      <queryTableField id="2" name="Promedio" tableColumnId="2"/>
      <queryTableField id="3" name="S_MIN" tableColumnId="3"/>
      <queryTableField id="4" name="S_MAX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9" connectionId="22" xr16:uid="{4182C42D-3BD0-754B-A92D-8BB7DCBEEE2C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Promedio" tableColumnId="2"/>
      <queryTableField id="3" name="S_MIN" tableColumnId="3"/>
      <queryTableField id="4" name="S_MAX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7" xr16:uid="{D0B8CBC5-CC9C-3A43-8DDA-2BF1CC85FB20}" autoFormatId="16" applyNumberFormats="0" applyBorderFormats="0" applyFontFormats="0" applyPatternFormats="0" applyAlignmentFormats="0" applyWidthHeightFormats="0">
  <queryTableRefresh nextId="6">
    <queryTableFields count="5">
      <queryTableField id="1" name="dept_name" tableColumnId="1"/>
      <queryTableField id="2" name="Promedio_Masculino" tableColumnId="2"/>
      <queryTableField id="3" name="Promedio_Femenino" tableColumnId="3"/>
      <queryTableField id="4" name="Diferencia" tableColumnId="4"/>
      <queryTableField id="5" name="Porcentaje_Diferencia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0" connectionId="18" xr16:uid="{447D4A08-7229-5C4C-BBCA-253659BEA039}" autoFormatId="16" applyNumberFormats="0" applyBorderFormats="0" applyFontFormats="0" applyPatternFormats="0" applyAlignmentFormats="0" applyWidthHeightFormats="0">
  <queryTableRefresh nextId="3">
    <queryTableFields count="2">
      <queryTableField id="1" name="Año" tableColumnId="1"/>
      <queryTableField id="2" name="Promedio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1" connectionId="15" xr16:uid="{6B959C01-36B9-3A41-92A2-DEF04FA57ED6}" autoFormatId="16" applyNumberFormats="0" applyBorderFormats="0" applyFontFormats="0" applyPatternFormats="0" applyAlignmentFormats="0" applyWidthHeightFormats="0">
  <queryTableRefresh nextId="3">
    <queryTableFields count="2">
      <queryTableField id="1" name="year_d" tableColumnId="1"/>
      <queryTableField id="2" name="porcentaje_mujeres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4AE19CCB-394F-6E41-B4C7-20917DB0950D}" autoFormatId="16" applyNumberFormats="0" applyBorderFormats="0" applyFontFormats="0" applyPatternFormats="0" applyAlignmentFormats="0" applyWidthHeightFormats="0">
  <queryTableRefresh nextId="3">
    <queryTableFields count="2">
      <queryTableField id="1" name="balance" tableColumnId="1"/>
      <queryTableField id="2" name="year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2" xr16:uid="{0743D085-8B3C-9347-A9F5-FCD6F9F23353}" autoFormatId="16" applyNumberFormats="0" applyBorderFormats="0" applyFontFormats="0" applyPatternFormats="0" applyAlignmentFormats="0" applyWidthHeightFormats="0">
  <queryTableRefresh nextId="6">
    <queryTableFields count="5">
      <queryTableField id="1" name="first_name" tableColumnId="1"/>
      <queryTableField id="2" name="last_name" tableColumnId="2"/>
      <queryTableField id="3" name="hire_date" tableColumnId="3"/>
      <queryTableField id="4" name="dept_name" tableColumnId="4"/>
      <queryTableField id="5" name="anios_trabajados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9" xr16:uid="{C16ACF4C-0C46-F646-B7C0-D88070087BCC}" autoFormatId="16" applyNumberFormats="0" applyBorderFormats="0" applyFontFormats="0" applyPatternFormats="0" applyAlignmentFormats="0" applyWidthHeightFormats="0">
  <queryTableRefresh nextId="6">
    <queryTableFields count="5">
      <queryTableField id="1" name="first_name" tableColumnId="1"/>
      <queryTableField id="2" name="last_name" tableColumnId="2"/>
      <queryTableField id="3" name="dept_name" tableColumnId="3"/>
      <queryTableField id="4" name="title" tableColumnId="4"/>
      <queryTableField id="5" name="salar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53D30A-E1C5-7449-978E-CC897371E743}" name="headcount_depto" displayName="headcount_depto" ref="A1:B10" tableType="queryTable" totalsRowShown="0" headerRowDxfId="43" headerRowBorderDxfId="47" tableBorderDxfId="48" totalsRowBorderDxfId="46">
  <autoFilter ref="A1:B10" xr:uid="{0A53D30A-E1C5-7449-978E-CC897371E743}"/>
  <tableColumns count="2">
    <tableColumn id="1" xr3:uid="{19A5860E-C2DB-8C45-B530-89F05D7BB719}" uniqueName="1" name="dept_name" queryTableFieldId="1" dataDxfId="45"/>
    <tableColumn id="2" xr3:uid="{C9F51F68-1CE6-E940-A534-23D1E989A616}" uniqueName="2" name="Activos" queryTableFieldId="2" dataDxfId="4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AF1EAB9-069A-C748-B035-1E6F82F5807D}" name="genero_dept13" displayName="genero_dept13" ref="A16:C25" tableType="queryTable" totalsRowShown="0" headerRowDxfId="36" headerRowBorderDxfId="41" tableBorderDxfId="42" totalsRowBorderDxfId="40">
  <autoFilter ref="A16:C25" xr:uid="{EAF1EAB9-069A-C748-B035-1E6F82F5807D}"/>
  <tableColumns count="3">
    <tableColumn id="1" xr3:uid="{8267B39F-5F89-7B4F-8C70-0EA902E4BDF0}" uniqueName="1" name="dept_name" queryTableFieldId="1" dataDxfId="39"/>
    <tableColumn id="2" xr3:uid="{719F790C-74EA-634C-B8B3-288F89016B23}" uniqueName="2" name="Masculino" queryTableFieldId="2" dataDxfId="38"/>
    <tableColumn id="3" xr3:uid="{B81540E1-DF14-6449-915E-4F92EAF82461}" uniqueName="3" name="Femenino" queryTableFieldId="3" dataDxfId="3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A78EA2E-49BC-AA48-83C5-0B50151780D1}" name="cargos14" displayName="cargos14" ref="A28:B35" tableType="queryTable" totalsRowShown="0" headerRowDxfId="30" headerRowBorderDxfId="34" tableBorderDxfId="35" totalsRowBorderDxfId="33">
  <autoFilter ref="A28:B35" xr:uid="{EA78EA2E-49BC-AA48-83C5-0B50151780D1}"/>
  <tableColumns count="2">
    <tableColumn id="1" xr3:uid="{240CAF65-1678-944C-99E6-15199768F0A2}" uniqueName="1" name="title" queryTableFieldId="1" dataDxfId="32"/>
    <tableColumn id="2" xr3:uid="{550B392D-E392-9B4E-880B-414AC7BD37F1}" uniqueName="2" name="cargos" queryTableFieldId="2" dataDxfId="3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BFE6D3A-AB89-3B48-93C0-6D643DA69CC4}" name="salario_depto__310" displayName="salario_depto__310" ref="A1:D10" tableType="queryTable" totalsRowShown="0" headerRowDxfId="68" headerRowBorderDxfId="74" tableBorderDxfId="75" totalsRowBorderDxfId="73">
  <autoFilter ref="A1:D10" xr:uid="{ABFE6D3A-AB89-3B48-93C0-6D643DA69CC4}"/>
  <tableColumns count="4">
    <tableColumn id="1" xr3:uid="{3BD0E552-700F-6D44-8A46-62A0A7162869}" uniqueName="1" name="dept_name" queryTableFieldId="1" dataDxfId="72"/>
    <tableColumn id="2" xr3:uid="{5049DF8D-4E73-B145-8D92-B3E790B388B8}" uniqueName="2" name="Promedio" queryTableFieldId="2" dataDxfId="71"/>
    <tableColumn id="3" xr3:uid="{2BB67476-423A-E14E-BBA6-AE38F59B5B84}" uniqueName="3" name="S_MIN" queryTableFieldId="3" dataDxfId="70"/>
    <tableColumn id="4" xr3:uid="{D3F11BEE-0EF5-3640-96F6-9E39FA9E1F37}" uniqueName="4" name="S_MAX" queryTableFieldId="4" dataDxfId="6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F674693-53BD-3E47-94A7-017041BD93C3}" name="salario_cargo__315" displayName="salario_cargo__315" ref="A13:D20" tableType="queryTable" totalsRowShown="0">
  <autoFilter ref="A13:D20" xr:uid="{8F674693-53BD-3E47-94A7-017041BD93C3}"/>
  <tableColumns count="4">
    <tableColumn id="1" xr3:uid="{0356618B-8FF2-974F-A42D-DDA2903304AA}" uniqueName="1" name="title" queryTableFieldId="1" dataDxfId="67"/>
    <tableColumn id="2" xr3:uid="{83608440-6AF4-E845-B8BA-676136BB8035}" uniqueName="2" name="Promedio" queryTableFieldId="2" dataDxfId="66"/>
    <tableColumn id="3" xr3:uid="{046AA20F-AFF1-9F4A-88D6-6E33D371503E}" uniqueName="3" name="S_MIN" queryTableFieldId="3" dataDxfId="65"/>
    <tableColumn id="4" xr3:uid="{051F8B2F-E436-E940-8208-EC8AA1B94BBE}" uniqueName="4" name="S_MAX" queryTableFieldId="4" dataDxfId="6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0145E1F-F2AA-8B46-95C2-AAEAB3938F97}" name="brecha_depto__416" displayName="brecha_depto__416" ref="A28:E37" tableType="queryTable" totalsRowShown="0" headerRowDxfId="55" headerRowBorderDxfId="62" tableBorderDxfId="63" totalsRowBorderDxfId="61">
  <autoFilter ref="A28:E37" xr:uid="{80145E1F-F2AA-8B46-95C2-AAEAB3938F97}"/>
  <tableColumns count="5">
    <tableColumn id="1" xr3:uid="{6583477D-BF2E-1943-8D50-300169BC8DDA}" uniqueName="1" name="dept_name" queryTableFieldId="1" dataDxfId="60"/>
    <tableColumn id="2" xr3:uid="{F5D242A0-21DD-9F44-8C27-D54BB76563C1}" uniqueName="2" name="Promedio_Masculino" queryTableFieldId="2" dataDxfId="59"/>
    <tableColumn id="3" xr3:uid="{05BA4A4E-317E-E947-9E3B-09AC3731242F}" uniqueName="3" name="Promedio_Femenino" queryTableFieldId="3" dataDxfId="58"/>
    <tableColumn id="4" xr3:uid="{CF4404EF-69D7-5244-9349-6C6B0F75B4D3}" uniqueName="4" name="Diferencia" queryTableFieldId="4" dataDxfId="57"/>
    <tableColumn id="5" xr3:uid="{94107292-9274-8641-A053-FBD36A60007C}" uniqueName="5" name="Porcentaje_Diferencia" queryTableFieldId="5" dataDxfId="5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3AC65AC-6348-524D-9691-A5455C4D77B6}" name="salario_anio__218" displayName="salario_anio__218" ref="A51:B69" tableType="queryTable" totalsRowShown="0" headerRowDxfId="49" headerRowBorderDxfId="53" tableBorderDxfId="54" totalsRowBorderDxfId="52">
  <autoFilter ref="A51:B69" xr:uid="{33AC65AC-6348-524D-9691-A5455C4D77B6}"/>
  <tableColumns count="2">
    <tableColumn id="1" xr3:uid="{0475C158-B509-CB46-84D0-4BA80413B89A}" uniqueName="1" name="Año" queryTableFieldId="1" dataDxfId="51"/>
    <tableColumn id="2" xr3:uid="{854027E9-0AD1-0B4C-AB2E-654095627141}" uniqueName="2" name="Promedio" queryTableFieldId="2" dataDxfId="5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B96195C-B0F5-664D-A840-0D2ED405E257}" name="mujeres_anio__2" displayName="mujeres_anio__2" ref="A1:B17" tableType="queryTable" totalsRowShown="0" headerRowDxfId="24" headerRowBorderDxfId="28" tableBorderDxfId="29" totalsRowBorderDxfId="27">
  <autoFilter ref="A1:B17" xr:uid="{AB96195C-B0F5-664D-A840-0D2ED405E257}"/>
  <tableColumns count="2">
    <tableColumn id="1" xr3:uid="{9752067E-CB8E-DF48-8848-96CC02B00D8C}" uniqueName="1" name="year_d" queryTableFieldId="1" dataDxfId="26"/>
    <tableColumn id="2" xr3:uid="{14FD9C6C-7B02-8245-BE63-8301CD8364C6}" uniqueName="2" name="porcentaje_mujeres" queryTableFieldId="2" dataDxfId="2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7A3164C-6C06-8348-B6C2-E9C195488FBB}" name="balance_anio20" displayName="balance_anio20" ref="A20:B36" tableType="queryTable" totalsRowShown="0" headerRowDxfId="18" headerRowBorderDxfId="22" tableBorderDxfId="23" totalsRowBorderDxfId="21">
  <autoFilter ref="A20:B36" xr:uid="{77A3164C-6C06-8348-B6C2-E9C195488FBB}"/>
  <tableColumns count="2">
    <tableColumn id="1" xr3:uid="{EEC10B07-A0AB-A143-A6F2-9BB2B26BC9C1}" uniqueName="1" name="balance" queryTableFieldId="1" dataDxfId="20"/>
    <tableColumn id="2" xr3:uid="{7D42189A-6BC3-574D-9026-4788CFD39247}" uniqueName="2" name="year" queryTableFieldId="2" dataDxfId="1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18B1BD3-3D0D-3C43-9AD3-7FA91EE1D441}" name="top_veteranos__223" displayName="top_veteranos__223" ref="A1:E11" tableType="queryTable" totalsRowShown="0" headerRowDxfId="9" headerRowBorderDxfId="16" tableBorderDxfId="17" totalsRowBorderDxfId="15">
  <autoFilter ref="A1:E11" xr:uid="{318B1BD3-3D0D-3C43-9AD3-7FA91EE1D441}"/>
  <tableColumns count="5">
    <tableColumn id="1" xr3:uid="{E4F65914-4F3D-E94D-99C9-0044BD50835A}" uniqueName="1" name="first_name" queryTableFieldId="1" dataDxfId="14"/>
    <tableColumn id="2" xr3:uid="{858FFD47-3358-F04D-A8C1-5BCC6271BC9E}" uniqueName="2" name="last_name" queryTableFieldId="2" dataDxfId="13"/>
    <tableColumn id="3" xr3:uid="{0EBADC50-F905-A349-BE1F-F043D0213BAF}" uniqueName="3" name="hire_date" queryTableFieldId="3" dataDxfId="12"/>
    <tableColumn id="4" xr3:uid="{46E62D0A-184E-8743-8CEE-4F4FE37D5BE6}" uniqueName="4" name="dept_name" queryTableFieldId="4" dataDxfId="11"/>
    <tableColumn id="5" xr3:uid="{ECF96389-31AE-884B-B79C-F60ECC1F3682}" uniqueName="5" name="anios_trabajados" queryTableFieldId="5" dataDxfId="1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BC5F03E-FFB1-B34B-9349-28E42F0586D5}" name="top_salarios__224" displayName="top_salarios__224" ref="A14:E24" tableType="queryTable" totalsRowShown="0" headerRowDxfId="0" headerRowBorderDxfId="7" tableBorderDxfId="8" totalsRowBorderDxfId="6">
  <autoFilter ref="A14:E24" xr:uid="{7BC5F03E-FFB1-B34B-9349-28E42F0586D5}"/>
  <tableColumns count="5">
    <tableColumn id="1" xr3:uid="{D3292E7D-5FF7-4B48-8720-3A9AB079133C}" uniqueName="1" name="first_name" queryTableFieldId="1" dataDxfId="5"/>
    <tableColumn id="2" xr3:uid="{F811A181-40F7-FA4B-AC2D-60A8806E10B1}" uniqueName="2" name="last_name" queryTableFieldId="2" dataDxfId="4"/>
    <tableColumn id="3" xr3:uid="{BCA10E80-3B9A-A543-8157-F93B82BE1964}" uniqueName="3" name="dept_name" queryTableFieldId="3" dataDxfId="3"/>
    <tableColumn id="4" xr3:uid="{6DF02D39-D635-5140-A42A-A9D3577E9690}" uniqueName="4" name="title" queryTableFieldId="4" dataDxfId="2"/>
    <tableColumn id="5" xr3:uid="{679CA538-E2B1-BF4A-8415-E33E19DA08E9}" uniqueName="5" name="salary" queryTableFieldId="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pivotTable" Target="../pivotTables/pivotTable6.xml"/><Relationship Id="rId7" Type="http://schemas.openxmlformats.org/officeDocument/2006/relationships/table" Target="../tables/table5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table" Target="../tables/table4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7.xml"/><Relationship Id="rId9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4F74-D059-FB40-A957-F2967A33C424}">
  <dimension ref="A1:F36"/>
  <sheetViews>
    <sheetView showGridLines="0" showRowColHeaders="0" zoomScale="125" workbookViewId="0">
      <selection activeCell="A28" sqref="A28:B35"/>
    </sheetView>
  </sheetViews>
  <sheetFormatPr baseColWidth="10" defaultRowHeight="16" x14ac:dyDescent="0.2"/>
  <cols>
    <col min="1" max="1" width="18.1640625" bestFit="1" customWidth="1"/>
    <col min="2" max="2" width="9.83203125" bestFit="1" customWidth="1"/>
    <col min="3" max="3" width="11.83203125" bestFit="1" customWidth="1"/>
    <col min="4" max="4" width="14.1640625" bestFit="1" customWidth="1"/>
    <col min="5" max="6" width="17.1640625" bestFit="1" customWidth="1"/>
    <col min="7" max="12" width="21.5" bestFit="1" customWidth="1"/>
    <col min="13" max="13" width="11.83203125" bestFit="1" customWidth="1"/>
  </cols>
  <sheetData>
    <row r="1" spans="1:6" x14ac:dyDescent="0.2">
      <c r="A1" s="4" t="s">
        <v>0</v>
      </c>
      <c r="B1" s="6" t="s">
        <v>1</v>
      </c>
      <c r="C1" s="1" t="s">
        <v>79</v>
      </c>
      <c r="D1" t="s">
        <v>81</v>
      </c>
    </row>
    <row r="2" spans="1:6" x14ac:dyDescent="0.2">
      <c r="A2" s="15" t="s">
        <v>2</v>
      </c>
      <c r="B2" s="9">
        <v>61386</v>
      </c>
      <c r="C2" s="2" t="s">
        <v>2</v>
      </c>
      <c r="D2" s="3">
        <v>61386</v>
      </c>
    </row>
    <row r="3" spans="1:6" x14ac:dyDescent="0.2">
      <c r="A3" s="15" t="s">
        <v>3</v>
      </c>
      <c r="B3" s="9">
        <v>37701</v>
      </c>
      <c r="C3" s="2" t="s">
        <v>4</v>
      </c>
      <c r="D3" s="3">
        <v>53304</v>
      </c>
    </row>
    <row r="4" spans="1:6" x14ac:dyDescent="0.2">
      <c r="A4" s="15" t="s">
        <v>4</v>
      </c>
      <c r="B4" s="9">
        <v>53304</v>
      </c>
      <c r="C4" s="2" t="s">
        <v>3</v>
      </c>
      <c r="D4" s="3">
        <v>37701</v>
      </c>
    </row>
    <row r="5" spans="1:6" x14ac:dyDescent="0.2">
      <c r="A5" s="15" t="s">
        <v>5</v>
      </c>
      <c r="B5" s="9">
        <v>12898</v>
      </c>
      <c r="C5" s="2" t="s">
        <v>9</v>
      </c>
      <c r="D5" s="3">
        <v>17569</v>
      </c>
    </row>
    <row r="6" spans="1:6" x14ac:dyDescent="0.2">
      <c r="A6" s="15" t="s">
        <v>6</v>
      </c>
      <c r="B6" s="9">
        <v>15441</v>
      </c>
      <c r="C6" s="2" t="s">
        <v>6</v>
      </c>
      <c r="D6" s="3">
        <v>15441</v>
      </c>
    </row>
    <row r="7" spans="1:6" x14ac:dyDescent="0.2">
      <c r="A7" s="15" t="s">
        <v>7</v>
      </c>
      <c r="B7" s="9">
        <v>14546</v>
      </c>
      <c r="C7" s="2" t="s">
        <v>8</v>
      </c>
      <c r="D7" s="3">
        <v>14842</v>
      </c>
    </row>
    <row r="8" spans="1:6" x14ac:dyDescent="0.2">
      <c r="A8" s="15" t="s">
        <v>8</v>
      </c>
      <c r="B8" s="9">
        <v>14842</v>
      </c>
      <c r="C8" s="2" t="s">
        <v>7</v>
      </c>
      <c r="D8" s="3">
        <v>14546</v>
      </c>
    </row>
    <row r="9" spans="1:6" x14ac:dyDescent="0.2">
      <c r="A9" s="15" t="s">
        <v>9</v>
      </c>
      <c r="B9" s="9">
        <v>17569</v>
      </c>
      <c r="C9" s="2" t="s">
        <v>5</v>
      </c>
      <c r="D9" s="3">
        <v>12898</v>
      </c>
    </row>
    <row r="10" spans="1:6" x14ac:dyDescent="0.2">
      <c r="A10" s="13" t="s">
        <v>10</v>
      </c>
      <c r="B10" s="12">
        <v>12437</v>
      </c>
      <c r="C10" s="2" t="s">
        <v>10</v>
      </c>
      <c r="D10" s="3">
        <v>12437</v>
      </c>
    </row>
    <row r="11" spans="1:6" x14ac:dyDescent="0.2">
      <c r="C11" s="2" t="s">
        <v>80</v>
      </c>
      <c r="D11" s="3">
        <v>240124</v>
      </c>
    </row>
    <row r="16" spans="1:6" x14ac:dyDescent="0.2">
      <c r="A16" s="4" t="s">
        <v>0</v>
      </c>
      <c r="B16" s="5" t="s">
        <v>26</v>
      </c>
      <c r="C16" s="6" t="s">
        <v>27</v>
      </c>
      <c r="D16" s="1" t="s">
        <v>79</v>
      </c>
      <c r="E16" t="s">
        <v>82</v>
      </c>
      <c r="F16" t="s">
        <v>83</v>
      </c>
    </row>
    <row r="17" spans="1:6" x14ac:dyDescent="0.2">
      <c r="A17" s="15" t="s">
        <v>2</v>
      </c>
      <c r="B17" s="8">
        <v>36853</v>
      </c>
      <c r="C17" s="9">
        <v>24533</v>
      </c>
      <c r="D17" s="2" t="s">
        <v>2</v>
      </c>
      <c r="E17" s="3">
        <v>36853</v>
      </c>
      <c r="F17" s="3">
        <v>24533</v>
      </c>
    </row>
    <row r="18" spans="1:6" x14ac:dyDescent="0.2">
      <c r="A18" s="15" t="s">
        <v>3</v>
      </c>
      <c r="B18" s="8">
        <v>22702</v>
      </c>
      <c r="C18" s="9">
        <v>14999</v>
      </c>
      <c r="D18" s="2" t="s">
        <v>4</v>
      </c>
      <c r="E18" s="3">
        <v>31911</v>
      </c>
      <c r="F18" s="3">
        <v>21393</v>
      </c>
    </row>
    <row r="19" spans="1:6" x14ac:dyDescent="0.2">
      <c r="A19" s="15" t="s">
        <v>4</v>
      </c>
      <c r="B19" s="8">
        <v>31911</v>
      </c>
      <c r="C19" s="9">
        <v>21393</v>
      </c>
      <c r="D19" s="2" t="s">
        <v>3</v>
      </c>
      <c r="E19" s="3">
        <v>22702</v>
      </c>
      <c r="F19" s="3">
        <v>14999</v>
      </c>
    </row>
    <row r="20" spans="1:6" x14ac:dyDescent="0.2">
      <c r="A20" s="15" t="s">
        <v>5</v>
      </c>
      <c r="B20" s="8">
        <v>7751</v>
      </c>
      <c r="C20" s="9">
        <v>5147</v>
      </c>
      <c r="D20" s="2" t="s">
        <v>9</v>
      </c>
      <c r="E20" s="3">
        <v>10562</v>
      </c>
      <c r="F20" s="3">
        <v>7007</v>
      </c>
    </row>
    <row r="21" spans="1:6" x14ac:dyDescent="0.2">
      <c r="A21" s="15" t="s">
        <v>6</v>
      </c>
      <c r="B21" s="8">
        <v>9260</v>
      </c>
      <c r="C21" s="9">
        <v>6181</v>
      </c>
      <c r="D21" s="2" t="s">
        <v>6</v>
      </c>
      <c r="E21" s="3">
        <v>9260</v>
      </c>
      <c r="F21" s="3">
        <v>6181</v>
      </c>
    </row>
    <row r="22" spans="1:6" x14ac:dyDescent="0.2">
      <c r="A22" s="15" t="s">
        <v>7</v>
      </c>
      <c r="B22" s="8">
        <v>8674</v>
      </c>
      <c r="C22" s="9">
        <v>5872</v>
      </c>
      <c r="D22" s="2" t="s">
        <v>7</v>
      </c>
      <c r="E22" s="3">
        <v>8674</v>
      </c>
      <c r="F22" s="3">
        <v>5872</v>
      </c>
    </row>
    <row r="23" spans="1:6" x14ac:dyDescent="0.2">
      <c r="A23" s="15" t="s">
        <v>8</v>
      </c>
      <c r="B23" s="8">
        <v>8978</v>
      </c>
      <c r="C23" s="9">
        <v>5864</v>
      </c>
      <c r="D23" s="2" t="s">
        <v>8</v>
      </c>
      <c r="E23" s="3">
        <v>8978</v>
      </c>
      <c r="F23" s="3">
        <v>5864</v>
      </c>
    </row>
    <row r="24" spans="1:6" x14ac:dyDescent="0.2">
      <c r="A24" s="15" t="s">
        <v>9</v>
      </c>
      <c r="B24" s="8">
        <v>10562</v>
      </c>
      <c r="C24" s="9">
        <v>7007</v>
      </c>
      <c r="D24" s="2" t="s">
        <v>5</v>
      </c>
      <c r="E24" s="3">
        <v>7751</v>
      </c>
      <c r="F24" s="3">
        <v>5147</v>
      </c>
    </row>
    <row r="25" spans="1:6" x14ac:dyDescent="0.2">
      <c r="A25" s="13" t="s">
        <v>10</v>
      </c>
      <c r="B25" s="11">
        <v>7423</v>
      </c>
      <c r="C25" s="12">
        <v>5014</v>
      </c>
      <c r="D25" s="2" t="s">
        <v>10</v>
      </c>
      <c r="E25" s="3">
        <v>7423</v>
      </c>
      <c r="F25" s="3">
        <v>5014</v>
      </c>
    </row>
    <row r="26" spans="1:6" x14ac:dyDescent="0.2">
      <c r="D26" s="2" t="s">
        <v>80</v>
      </c>
      <c r="E26" s="3">
        <v>144114</v>
      </c>
      <c r="F26" s="3">
        <v>96010</v>
      </c>
    </row>
    <row r="28" spans="1:6" x14ac:dyDescent="0.2">
      <c r="A28" s="4" t="s">
        <v>17</v>
      </c>
      <c r="B28" s="6" t="s">
        <v>18</v>
      </c>
      <c r="C28" s="1" t="s">
        <v>79</v>
      </c>
      <c r="D28" t="s">
        <v>84</v>
      </c>
    </row>
    <row r="29" spans="1:6" x14ac:dyDescent="0.2">
      <c r="A29" s="15" t="s">
        <v>19</v>
      </c>
      <c r="B29" s="9">
        <v>85939</v>
      </c>
      <c r="C29" s="2" t="s">
        <v>19</v>
      </c>
      <c r="D29" s="3">
        <v>85939</v>
      </c>
    </row>
    <row r="30" spans="1:6" x14ac:dyDescent="0.2">
      <c r="A30" s="15" t="s">
        <v>20</v>
      </c>
      <c r="B30" s="9">
        <v>82024</v>
      </c>
      <c r="C30" s="2" t="s">
        <v>20</v>
      </c>
      <c r="D30" s="3">
        <v>82024</v>
      </c>
    </row>
    <row r="31" spans="1:6" x14ac:dyDescent="0.2">
      <c r="A31" s="15" t="s">
        <v>21</v>
      </c>
      <c r="B31" s="9">
        <v>30983</v>
      </c>
      <c r="C31" s="2" t="s">
        <v>21</v>
      </c>
      <c r="D31" s="3">
        <v>30983</v>
      </c>
    </row>
    <row r="32" spans="1:6" x14ac:dyDescent="0.2">
      <c r="A32" s="15" t="s">
        <v>22</v>
      </c>
      <c r="B32" s="9">
        <v>25526</v>
      </c>
      <c r="C32" s="2" t="s">
        <v>22</v>
      </c>
      <c r="D32" s="3">
        <v>25526</v>
      </c>
    </row>
    <row r="33" spans="1:4" x14ac:dyDescent="0.2">
      <c r="A33" s="15" t="s">
        <v>23</v>
      </c>
      <c r="B33" s="9">
        <v>12055</v>
      </c>
      <c r="C33" s="2" t="s">
        <v>23</v>
      </c>
      <c r="D33" s="3">
        <v>12055</v>
      </c>
    </row>
    <row r="34" spans="1:4" x14ac:dyDescent="0.2">
      <c r="A34" s="15" t="s">
        <v>24</v>
      </c>
      <c r="B34" s="9">
        <v>3588</v>
      </c>
      <c r="C34" s="2" t="s">
        <v>24</v>
      </c>
      <c r="D34" s="3">
        <v>3588</v>
      </c>
    </row>
    <row r="35" spans="1:4" x14ac:dyDescent="0.2">
      <c r="A35" s="13" t="s">
        <v>25</v>
      </c>
      <c r="B35" s="12">
        <v>9</v>
      </c>
      <c r="C35" s="2" t="s">
        <v>25</v>
      </c>
      <c r="D35" s="3">
        <v>9</v>
      </c>
    </row>
    <row r="36" spans="1:4" x14ac:dyDescent="0.2">
      <c r="C36" s="2" t="s">
        <v>80</v>
      </c>
      <c r="D36" s="3">
        <v>240124</v>
      </c>
    </row>
  </sheetData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5EFE9-A4A1-734D-8E8C-FEFDABEF7CA9}">
  <dimension ref="A1:F85"/>
  <sheetViews>
    <sheetView showGridLines="0" showRowColHeaders="0" topLeftCell="A38" zoomScale="86" workbookViewId="0">
      <selection activeCell="A51" sqref="A51:B69"/>
    </sheetView>
  </sheetViews>
  <sheetFormatPr baseColWidth="10" defaultRowHeight="16" x14ac:dyDescent="0.2"/>
  <cols>
    <col min="1" max="1" width="18" bestFit="1" customWidth="1"/>
    <col min="2" max="2" width="17.33203125" bestFit="1" customWidth="1"/>
    <col min="3" max="3" width="16.83203125" bestFit="1" customWidth="1"/>
    <col min="4" max="4" width="16.6640625" bestFit="1" customWidth="1"/>
    <col min="5" max="5" width="17.1640625" bestFit="1" customWidth="1"/>
    <col min="6" max="6" width="16.6640625" bestFit="1" customWidth="1"/>
  </cols>
  <sheetData>
    <row r="1" spans="1:6" x14ac:dyDescent="0.2">
      <c r="A1" s="4" t="s">
        <v>0</v>
      </c>
      <c r="B1" s="5" t="s">
        <v>31</v>
      </c>
      <c r="C1" s="5" t="s">
        <v>32</v>
      </c>
      <c r="D1" s="6" t="s">
        <v>33</v>
      </c>
      <c r="E1" s="1" t="s">
        <v>79</v>
      </c>
      <c r="F1" t="s">
        <v>85</v>
      </c>
    </row>
    <row r="2" spans="1:6" x14ac:dyDescent="0.2">
      <c r="A2" s="7" t="s">
        <v>3</v>
      </c>
      <c r="B2" s="8">
        <v>88853</v>
      </c>
      <c r="C2" s="8">
        <v>39426</v>
      </c>
      <c r="D2" s="9">
        <v>158220</v>
      </c>
      <c r="E2" s="2" t="s">
        <v>3</v>
      </c>
      <c r="F2" s="3">
        <v>88853</v>
      </c>
    </row>
    <row r="3" spans="1:6" x14ac:dyDescent="0.2">
      <c r="A3" s="7" t="s">
        <v>8</v>
      </c>
      <c r="B3" s="8">
        <v>80059</v>
      </c>
      <c r="C3" s="8">
        <v>39821</v>
      </c>
      <c r="D3" s="9">
        <v>145128</v>
      </c>
      <c r="E3" s="2" t="s">
        <v>8</v>
      </c>
      <c r="F3" s="3">
        <v>80059</v>
      </c>
    </row>
    <row r="4" spans="1:6" x14ac:dyDescent="0.2">
      <c r="A4" s="7" t="s">
        <v>10</v>
      </c>
      <c r="B4" s="8">
        <v>78560</v>
      </c>
      <c r="C4" s="8">
        <v>39012</v>
      </c>
      <c r="D4" s="9">
        <v>142395</v>
      </c>
      <c r="E4" s="2" t="s">
        <v>10</v>
      </c>
      <c r="F4" s="3">
        <v>78560</v>
      </c>
    </row>
    <row r="5" spans="1:6" x14ac:dyDescent="0.2">
      <c r="A5" s="7" t="s">
        <v>6</v>
      </c>
      <c r="B5" s="8">
        <v>67913</v>
      </c>
      <c r="C5" s="8">
        <v>39186</v>
      </c>
      <c r="D5" s="9">
        <v>130211</v>
      </c>
      <c r="E5" s="2" t="s">
        <v>6</v>
      </c>
      <c r="F5" s="3">
        <v>67913</v>
      </c>
    </row>
    <row r="6" spans="1:6" x14ac:dyDescent="0.2">
      <c r="A6" s="7" t="s">
        <v>4</v>
      </c>
      <c r="B6" s="8">
        <v>67843</v>
      </c>
      <c r="C6" s="8">
        <v>38623</v>
      </c>
      <c r="D6" s="9">
        <v>138273</v>
      </c>
      <c r="E6" s="2" t="s">
        <v>4</v>
      </c>
      <c r="F6" s="3">
        <v>67843</v>
      </c>
    </row>
    <row r="7" spans="1:6" x14ac:dyDescent="0.2">
      <c r="A7" s="7" t="s">
        <v>2</v>
      </c>
      <c r="B7" s="8">
        <v>67658</v>
      </c>
      <c r="C7" s="8">
        <v>39036</v>
      </c>
      <c r="D7" s="9">
        <v>144434</v>
      </c>
      <c r="E7" s="2" t="s">
        <v>2</v>
      </c>
      <c r="F7" s="3">
        <v>67658</v>
      </c>
    </row>
    <row r="8" spans="1:6" x14ac:dyDescent="0.2">
      <c r="A8" s="7" t="s">
        <v>9</v>
      </c>
      <c r="B8" s="8">
        <v>67285</v>
      </c>
      <c r="C8" s="8">
        <v>39373</v>
      </c>
      <c r="D8" s="9">
        <v>144866</v>
      </c>
      <c r="E8" s="2" t="s">
        <v>9</v>
      </c>
      <c r="F8" s="3">
        <v>67285</v>
      </c>
    </row>
    <row r="9" spans="1:6" x14ac:dyDescent="0.2">
      <c r="A9" s="7" t="s">
        <v>7</v>
      </c>
      <c r="B9" s="8">
        <v>65442</v>
      </c>
      <c r="C9" s="8">
        <v>38942</v>
      </c>
      <c r="D9" s="9">
        <v>132103</v>
      </c>
      <c r="E9" s="2" t="s">
        <v>7</v>
      </c>
      <c r="F9" s="3">
        <v>65442</v>
      </c>
    </row>
    <row r="10" spans="1:6" x14ac:dyDescent="0.2">
      <c r="A10" s="10" t="s">
        <v>5</v>
      </c>
      <c r="B10" s="11">
        <v>63922</v>
      </c>
      <c r="C10" s="11">
        <v>38936</v>
      </c>
      <c r="D10" s="12">
        <v>141953</v>
      </c>
      <c r="E10" s="2" t="s">
        <v>5</v>
      </c>
      <c r="F10" s="3">
        <v>63922</v>
      </c>
    </row>
    <row r="11" spans="1:6" x14ac:dyDescent="0.2">
      <c r="E11" s="2" t="s">
        <v>80</v>
      </c>
      <c r="F11" s="3">
        <v>647535</v>
      </c>
    </row>
    <row r="13" spans="1:6" x14ac:dyDescent="0.2">
      <c r="A13" t="s">
        <v>17</v>
      </c>
      <c r="B13" t="s">
        <v>31</v>
      </c>
      <c r="C13" t="s">
        <v>32</v>
      </c>
      <c r="D13" t="s">
        <v>33</v>
      </c>
      <c r="E13" s="1" t="s">
        <v>79</v>
      </c>
      <c r="F13" t="s">
        <v>85</v>
      </c>
    </row>
    <row r="14" spans="1:6" x14ac:dyDescent="0.2">
      <c r="A14" s="14" t="s">
        <v>20</v>
      </c>
      <c r="B14" s="8">
        <v>80706</v>
      </c>
      <c r="C14" s="8">
        <v>39012</v>
      </c>
      <c r="D14" s="8">
        <v>158220</v>
      </c>
      <c r="E14" s="2" t="s">
        <v>20</v>
      </c>
      <c r="F14" s="3">
        <v>80706</v>
      </c>
    </row>
    <row r="15" spans="1:6" x14ac:dyDescent="0.2">
      <c r="A15" s="14" t="s">
        <v>25</v>
      </c>
      <c r="B15" s="8">
        <v>77724</v>
      </c>
      <c r="C15" s="8">
        <v>56654</v>
      </c>
      <c r="D15" s="8">
        <v>106491</v>
      </c>
      <c r="E15" s="2" t="s">
        <v>25</v>
      </c>
      <c r="F15" s="3">
        <v>77724</v>
      </c>
    </row>
    <row r="16" spans="1:6" x14ac:dyDescent="0.2">
      <c r="A16" s="14" t="s">
        <v>19</v>
      </c>
      <c r="B16" s="8">
        <v>70823</v>
      </c>
      <c r="C16" s="8">
        <v>39285</v>
      </c>
      <c r="D16" s="8">
        <v>140784</v>
      </c>
      <c r="E16" s="2" t="s">
        <v>19</v>
      </c>
      <c r="F16" s="3">
        <v>70823</v>
      </c>
    </row>
    <row r="17" spans="1:6" x14ac:dyDescent="0.2">
      <c r="A17" s="14" t="s">
        <v>23</v>
      </c>
      <c r="B17" s="8">
        <v>67507</v>
      </c>
      <c r="C17" s="8">
        <v>38623</v>
      </c>
      <c r="D17" s="8">
        <v>144434</v>
      </c>
      <c r="E17" s="2" t="s">
        <v>23</v>
      </c>
      <c r="F17" s="3">
        <v>67507</v>
      </c>
    </row>
    <row r="18" spans="1:6" x14ac:dyDescent="0.2">
      <c r="A18" s="14" t="s">
        <v>22</v>
      </c>
      <c r="B18" s="8">
        <v>67331</v>
      </c>
      <c r="C18" s="8">
        <v>38936</v>
      </c>
      <c r="D18" s="8">
        <v>137875</v>
      </c>
      <c r="E18" s="2" t="s">
        <v>22</v>
      </c>
      <c r="F18" s="3">
        <v>67331</v>
      </c>
    </row>
    <row r="19" spans="1:6" x14ac:dyDescent="0.2">
      <c r="A19" s="14" t="s">
        <v>21</v>
      </c>
      <c r="B19" s="8">
        <v>59603</v>
      </c>
      <c r="C19" s="8">
        <v>38942</v>
      </c>
      <c r="D19" s="8">
        <v>130939</v>
      </c>
      <c r="E19" s="2" t="s">
        <v>21</v>
      </c>
      <c r="F19" s="3">
        <v>59603</v>
      </c>
    </row>
    <row r="20" spans="1:6" x14ac:dyDescent="0.2">
      <c r="A20" s="14" t="s">
        <v>24</v>
      </c>
      <c r="B20" s="8">
        <v>57318</v>
      </c>
      <c r="C20" s="8">
        <v>39469</v>
      </c>
      <c r="D20" s="8">
        <v>117636</v>
      </c>
      <c r="E20" s="2" t="s">
        <v>24</v>
      </c>
      <c r="F20" s="3">
        <v>57318</v>
      </c>
    </row>
    <row r="21" spans="1:6" x14ac:dyDescent="0.2">
      <c r="E21" s="2" t="s">
        <v>80</v>
      </c>
      <c r="F21" s="3">
        <v>481012</v>
      </c>
    </row>
    <row r="28" spans="1:6" x14ac:dyDescent="0.2">
      <c r="A28" s="4" t="s">
        <v>0</v>
      </c>
      <c r="B28" s="5" t="s">
        <v>13</v>
      </c>
      <c r="C28" s="5" t="s">
        <v>14</v>
      </c>
      <c r="D28" s="5" t="s">
        <v>15</v>
      </c>
      <c r="E28" s="6" t="s">
        <v>16</v>
      </c>
    </row>
    <row r="29" spans="1:6" x14ac:dyDescent="0.2">
      <c r="A29" s="7" t="s">
        <v>8</v>
      </c>
      <c r="B29" s="8">
        <v>80293</v>
      </c>
      <c r="C29" s="8">
        <v>79700</v>
      </c>
      <c r="D29" s="8">
        <v>594</v>
      </c>
      <c r="E29" s="9">
        <v>1</v>
      </c>
    </row>
    <row r="30" spans="1:6" x14ac:dyDescent="0.2">
      <c r="A30" s="7" t="s">
        <v>4</v>
      </c>
      <c r="B30" s="8">
        <v>67921</v>
      </c>
      <c r="C30" s="8">
        <v>67728</v>
      </c>
      <c r="D30" s="8">
        <v>192</v>
      </c>
      <c r="E30" s="9">
        <v>0</v>
      </c>
    </row>
    <row r="31" spans="1:6" x14ac:dyDescent="0.2">
      <c r="A31" s="7" t="s">
        <v>2</v>
      </c>
      <c r="B31" s="8">
        <v>67713</v>
      </c>
      <c r="C31" s="8">
        <v>67576</v>
      </c>
      <c r="D31" s="8">
        <v>137</v>
      </c>
      <c r="E31" s="9">
        <v>0</v>
      </c>
    </row>
    <row r="32" spans="1:6" x14ac:dyDescent="0.2">
      <c r="A32" s="7" t="s">
        <v>3</v>
      </c>
      <c r="B32" s="8">
        <v>88864</v>
      </c>
      <c r="C32" s="8">
        <v>88836</v>
      </c>
      <c r="D32" s="8">
        <v>28</v>
      </c>
      <c r="E32" s="9">
        <v>0</v>
      </c>
    </row>
    <row r="33" spans="1:5" x14ac:dyDescent="0.2">
      <c r="A33" s="7" t="s">
        <v>6</v>
      </c>
      <c r="B33" s="8">
        <v>67848</v>
      </c>
      <c r="C33" s="8">
        <v>68012</v>
      </c>
      <c r="D33" s="8">
        <v>-164</v>
      </c>
      <c r="E33" s="9">
        <v>0</v>
      </c>
    </row>
    <row r="34" spans="1:5" x14ac:dyDescent="0.2">
      <c r="A34" s="7" t="s">
        <v>9</v>
      </c>
      <c r="B34" s="8">
        <v>67203</v>
      </c>
      <c r="C34" s="8">
        <v>67409</v>
      </c>
      <c r="D34" s="8">
        <v>-207</v>
      </c>
      <c r="E34" s="9">
        <v>0</v>
      </c>
    </row>
    <row r="35" spans="1:5" x14ac:dyDescent="0.2">
      <c r="A35" s="7" t="s">
        <v>7</v>
      </c>
      <c r="B35" s="8">
        <v>65361</v>
      </c>
      <c r="C35" s="8">
        <v>65562</v>
      </c>
      <c r="D35" s="8">
        <v>-201</v>
      </c>
      <c r="E35" s="9">
        <v>0</v>
      </c>
    </row>
    <row r="36" spans="1:5" x14ac:dyDescent="0.2">
      <c r="A36" s="7" t="s">
        <v>10</v>
      </c>
      <c r="B36" s="8">
        <v>78433</v>
      </c>
      <c r="C36" s="8">
        <v>78747</v>
      </c>
      <c r="D36" s="8">
        <v>-314</v>
      </c>
      <c r="E36" s="9">
        <v>0</v>
      </c>
    </row>
    <row r="37" spans="1:5" x14ac:dyDescent="0.2">
      <c r="A37" s="10" t="s">
        <v>5</v>
      </c>
      <c r="B37" s="11">
        <v>63777</v>
      </c>
      <c r="C37" s="11">
        <v>64140</v>
      </c>
      <c r="D37" s="11">
        <v>-363</v>
      </c>
      <c r="E37" s="12">
        <v>-1</v>
      </c>
    </row>
    <row r="38" spans="1:5" x14ac:dyDescent="0.2">
      <c r="A38" s="1" t="s">
        <v>79</v>
      </c>
      <c r="B38" t="s">
        <v>86</v>
      </c>
    </row>
    <row r="39" spans="1:5" x14ac:dyDescent="0.2">
      <c r="A39" s="2" t="s">
        <v>8</v>
      </c>
      <c r="B39" s="3">
        <v>594</v>
      </c>
    </row>
    <row r="40" spans="1:5" x14ac:dyDescent="0.2">
      <c r="A40" s="2" t="s">
        <v>4</v>
      </c>
      <c r="B40" s="3">
        <v>192</v>
      </c>
    </row>
    <row r="41" spans="1:5" x14ac:dyDescent="0.2">
      <c r="A41" s="2" t="s">
        <v>2</v>
      </c>
      <c r="B41" s="3">
        <v>137</v>
      </c>
    </row>
    <row r="42" spans="1:5" x14ac:dyDescent="0.2">
      <c r="A42" s="2" t="s">
        <v>3</v>
      </c>
      <c r="B42" s="3">
        <v>28</v>
      </c>
    </row>
    <row r="43" spans="1:5" x14ac:dyDescent="0.2">
      <c r="A43" s="2" t="s">
        <v>6</v>
      </c>
      <c r="B43" s="3">
        <v>-164</v>
      </c>
    </row>
    <row r="44" spans="1:5" x14ac:dyDescent="0.2">
      <c r="A44" s="2" t="s">
        <v>7</v>
      </c>
      <c r="B44" s="3">
        <v>-201</v>
      </c>
    </row>
    <row r="45" spans="1:5" x14ac:dyDescent="0.2">
      <c r="A45" s="2" t="s">
        <v>9</v>
      </c>
      <c r="B45" s="3">
        <v>-207</v>
      </c>
    </row>
    <row r="46" spans="1:5" x14ac:dyDescent="0.2">
      <c r="A46" s="2" t="s">
        <v>10</v>
      </c>
      <c r="B46" s="3">
        <v>-314</v>
      </c>
    </row>
    <row r="47" spans="1:5" x14ac:dyDescent="0.2">
      <c r="A47" s="2" t="s">
        <v>5</v>
      </c>
      <c r="B47" s="3">
        <v>-363</v>
      </c>
    </row>
    <row r="48" spans="1:5" x14ac:dyDescent="0.2">
      <c r="A48" s="2" t="s">
        <v>80</v>
      </c>
      <c r="B48" s="3">
        <v>-298</v>
      </c>
    </row>
    <row r="51" spans="1:4" x14ac:dyDescent="0.2">
      <c r="A51" s="4" t="s">
        <v>30</v>
      </c>
      <c r="B51" s="6" t="s">
        <v>31</v>
      </c>
      <c r="C51" s="1" t="s">
        <v>79</v>
      </c>
      <c r="D51" t="s">
        <v>85</v>
      </c>
    </row>
    <row r="52" spans="1:4" x14ac:dyDescent="0.2">
      <c r="A52" s="15">
        <v>1985</v>
      </c>
      <c r="B52" s="9">
        <v>53182</v>
      </c>
      <c r="C52" s="2">
        <v>1985</v>
      </c>
      <c r="D52" s="3">
        <v>53182</v>
      </c>
    </row>
    <row r="53" spans="1:4" x14ac:dyDescent="0.2">
      <c r="A53" s="15">
        <v>1986</v>
      </c>
      <c r="B53" s="9">
        <v>54085</v>
      </c>
      <c r="C53" s="2">
        <v>1986</v>
      </c>
      <c r="D53" s="3">
        <v>54085</v>
      </c>
    </row>
    <row r="54" spans="1:4" x14ac:dyDescent="0.2">
      <c r="A54" s="15">
        <v>1987</v>
      </c>
      <c r="B54" s="9">
        <v>54960</v>
      </c>
      <c r="C54" s="2">
        <v>1987</v>
      </c>
      <c r="D54" s="3">
        <v>54960</v>
      </c>
    </row>
    <row r="55" spans="1:4" x14ac:dyDescent="0.2">
      <c r="A55" s="15">
        <v>1988</v>
      </c>
      <c r="B55" s="9">
        <v>55862</v>
      </c>
      <c r="C55" s="2">
        <v>1988</v>
      </c>
      <c r="D55" s="3">
        <v>55862</v>
      </c>
    </row>
    <row r="56" spans="1:4" x14ac:dyDescent="0.2">
      <c r="A56" s="15">
        <v>1989</v>
      </c>
      <c r="B56" s="9">
        <v>56841</v>
      </c>
      <c r="C56" s="2">
        <v>1989</v>
      </c>
      <c r="D56" s="3">
        <v>56841</v>
      </c>
    </row>
    <row r="57" spans="1:4" x14ac:dyDescent="0.2">
      <c r="A57" s="15">
        <v>1990</v>
      </c>
      <c r="B57" s="9">
        <v>57839</v>
      </c>
      <c r="C57" s="2">
        <v>1990</v>
      </c>
      <c r="D57" s="3">
        <v>57839</v>
      </c>
    </row>
    <row r="58" spans="1:4" x14ac:dyDescent="0.2">
      <c r="A58" s="15">
        <v>1991</v>
      </c>
      <c r="B58" s="9">
        <v>58804</v>
      </c>
      <c r="C58" s="2">
        <v>1991</v>
      </c>
      <c r="D58" s="3">
        <v>58804</v>
      </c>
    </row>
    <row r="59" spans="1:4" x14ac:dyDescent="0.2">
      <c r="A59" s="15">
        <v>1992</v>
      </c>
      <c r="B59" s="9">
        <v>59759</v>
      </c>
      <c r="C59" s="2">
        <v>1992</v>
      </c>
      <c r="D59" s="3">
        <v>59759</v>
      </c>
    </row>
    <row r="60" spans="1:4" x14ac:dyDescent="0.2">
      <c r="A60" s="15">
        <v>1993</v>
      </c>
      <c r="B60" s="9">
        <v>60754</v>
      </c>
      <c r="C60" s="2">
        <v>1993</v>
      </c>
      <c r="D60" s="3">
        <v>60754</v>
      </c>
    </row>
    <row r="61" spans="1:4" x14ac:dyDescent="0.2">
      <c r="A61" s="15">
        <v>1994</v>
      </c>
      <c r="B61" s="9">
        <v>61728</v>
      </c>
      <c r="C61" s="2">
        <v>1994</v>
      </c>
      <c r="D61" s="3">
        <v>61728</v>
      </c>
    </row>
    <row r="62" spans="1:4" x14ac:dyDescent="0.2">
      <c r="A62" s="15">
        <v>1995</v>
      </c>
      <c r="B62" s="9">
        <v>62681</v>
      </c>
      <c r="C62" s="2">
        <v>1995</v>
      </c>
      <c r="D62" s="3">
        <v>62681</v>
      </c>
    </row>
    <row r="63" spans="1:4" x14ac:dyDescent="0.2">
      <c r="A63" s="15">
        <v>1996</v>
      </c>
      <c r="B63" s="9">
        <v>63619</v>
      </c>
      <c r="C63" s="2">
        <v>1996</v>
      </c>
      <c r="D63" s="3">
        <v>63619</v>
      </c>
    </row>
    <row r="64" spans="1:4" x14ac:dyDescent="0.2">
      <c r="A64" s="15">
        <v>1997</v>
      </c>
      <c r="B64" s="9">
        <v>64565</v>
      </c>
      <c r="C64" s="2">
        <v>1997</v>
      </c>
      <c r="D64" s="3">
        <v>64565</v>
      </c>
    </row>
    <row r="65" spans="1:4" x14ac:dyDescent="0.2">
      <c r="A65" s="15">
        <v>1998</v>
      </c>
      <c r="B65" s="9">
        <v>65540</v>
      </c>
      <c r="C65" s="2">
        <v>1998</v>
      </c>
      <c r="D65" s="3">
        <v>65540</v>
      </c>
    </row>
    <row r="66" spans="1:4" x14ac:dyDescent="0.2">
      <c r="A66" s="15">
        <v>1999</v>
      </c>
      <c r="B66" s="9">
        <v>66525</v>
      </c>
      <c r="C66" s="2">
        <v>1999</v>
      </c>
      <c r="D66" s="3">
        <v>66525</v>
      </c>
    </row>
    <row r="67" spans="1:4" x14ac:dyDescent="0.2">
      <c r="A67" s="15">
        <v>2000</v>
      </c>
      <c r="B67" s="9">
        <v>68556</v>
      </c>
      <c r="C67" s="2">
        <v>2000</v>
      </c>
      <c r="D67" s="3">
        <v>68556</v>
      </c>
    </row>
    <row r="68" spans="1:4" x14ac:dyDescent="0.2">
      <c r="A68" s="15">
        <v>2001</v>
      </c>
      <c r="B68" s="9">
        <v>70695</v>
      </c>
      <c r="C68" s="2">
        <v>2001</v>
      </c>
      <c r="D68" s="3">
        <v>70695</v>
      </c>
    </row>
    <row r="69" spans="1:4" x14ac:dyDescent="0.2">
      <c r="A69" s="13">
        <v>2002</v>
      </c>
      <c r="B69" s="12">
        <v>72684</v>
      </c>
      <c r="C69" s="2">
        <v>2002</v>
      </c>
      <c r="D69" s="3">
        <v>72684</v>
      </c>
    </row>
    <row r="70" spans="1:4" x14ac:dyDescent="0.2">
      <c r="C70" s="2" t="s">
        <v>80</v>
      </c>
      <c r="D70" s="3">
        <v>1108679</v>
      </c>
    </row>
    <row r="77" spans="1:4" x14ac:dyDescent="0.2">
      <c r="A77" s="3"/>
    </row>
    <row r="78" spans="1:4" x14ac:dyDescent="0.2">
      <c r="A78" s="3"/>
    </row>
    <row r="79" spans="1:4" x14ac:dyDescent="0.2">
      <c r="A79" s="3"/>
    </row>
    <row r="80" spans="1:4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</sheetData>
  <pageMargins left="0.7" right="0.7" top="0.75" bottom="0.75" header="0.3" footer="0.3"/>
  <drawing r:id="rId5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0021-D0A2-B140-88B1-91F6C0B19685}">
  <dimension ref="A1:D37"/>
  <sheetViews>
    <sheetView showGridLines="0" showRowColHeaders="0" workbookViewId="0">
      <selection activeCell="A20" sqref="A20:B36"/>
    </sheetView>
  </sheetViews>
  <sheetFormatPr baseColWidth="10" defaultRowHeight="16" x14ac:dyDescent="0.2"/>
  <cols>
    <col min="1" max="1" width="9" bestFit="1" customWidth="1"/>
    <col min="2" max="2" width="20.33203125" bestFit="1" customWidth="1"/>
    <col min="3" max="3" width="16.83203125" bestFit="1" customWidth="1"/>
    <col min="4" max="4" width="15" bestFit="1" customWidth="1"/>
  </cols>
  <sheetData>
    <row r="1" spans="1:4" x14ac:dyDescent="0.2">
      <c r="A1" s="4" t="s">
        <v>28</v>
      </c>
      <c r="B1" s="6" t="s">
        <v>29</v>
      </c>
      <c r="C1" s="1" t="s">
        <v>79</v>
      </c>
      <c r="D1" t="s">
        <v>87</v>
      </c>
    </row>
    <row r="2" spans="1:4" x14ac:dyDescent="0.2">
      <c r="A2" s="15">
        <v>1985</v>
      </c>
      <c r="B2" s="9">
        <v>40</v>
      </c>
      <c r="C2" s="2">
        <v>1985</v>
      </c>
      <c r="D2" s="3">
        <v>40</v>
      </c>
    </row>
    <row r="3" spans="1:4" x14ac:dyDescent="0.2">
      <c r="A3" s="15">
        <v>1986</v>
      </c>
      <c r="B3" s="9">
        <v>40</v>
      </c>
      <c r="C3" s="2">
        <v>1986</v>
      </c>
      <c r="D3" s="3">
        <v>40</v>
      </c>
    </row>
    <row r="4" spans="1:4" x14ac:dyDescent="0.2">
      <c r="A4" s="15">
        <v>1987</v>
      </c>
      <c r="B4" s="9">
        <v>40</v>
      </c>
      <c r="C4" s="2">
        <v>1987</v>
      </c>
      <c r="D4" s="3">
        <v>40</v>
      </c>
    </row>
    <row r="5" spans="1:4" x14ac:dyDescent="0.2">
      <c r="A5" s="15">
        <v>1988</v>
      </c>
      <c r="B5" s="9">
        <v>41</v>
      </c>
      <c r="C5" s="2">
        <v>1988</v>
      </c>
      <c r="D5" s="3">
        <v>41</v>
      </c>
    </row>
    <row r="6" spans="1:4" x14ac:dyDescent="0.2">
      <c r="A6" s="15">
        <v>1989</v>
      </c>
      <c r="B6" s="9">
        <v>41</v>
      </c>
      <c r="C6" s="2">
        <v>1989</v>
      </c>
      <c r="D6" s="3">
        <v>41</v>
      </c>
    </row>
    <row r="7" spans="1:4" x14ac:dyDescent="0.2">
      <c r="A7" s="15">
        <v>1990</v>
      </c>
      <c r="B7" s="9">
        <v>40</v>
      </c>
      <c r="C7" s="2">
        <v>1990</v>
      </c>
      <c r="D7" s="3">
        <v>40</v>
      </c>
    </row>
    <row r="8" spans="1:4" x14ac:dyDescent="0.2">
      <c r="A8" s="15">
        <v>1991</v>
      </c>
      <c r="B8" s="9">
        <v>39</v>
      </c>
      <c r="C8" s="2">
        <v>1991</v>
      </c>
      <c r="D8" s="3">
        <v>39</v>
      </c>
    </row>
    <row r="9" spans="1:4" x14ac:dyDescent="0.2">
      <c r="A9" s="15">
        <v>1992</v>
      </c>
      <c r="B9" s="9">
        <v>40</v>
      </c>
      <c r="C9" s="2">
        <v>1992</v>
      </c>
      <c r="D9" s="3">
        <v>40</v>
      </c>
    </row>
    <row r="10" spans="1:4" x14ac:dyDescent="0.2">
      <c r="A10" s="15">
        <v>1993</v>
      </c>
      <c r="B10" s="9">
        <v>40</v>
      </c>
      <c r="C10" s="2">
        <v>1993</v>
      </c>
      <c r="D10" s="3">
        <v>40</v>
      </c>
    </row>
    <row r="11" spans="1:4" x14ac:dyDescent="0.2">
      <c r="A11" s="15">
        <v>1994</v>
      </c>
      <c r="B11" s="9">
        <v>41</v>
      </c>
      <c r="C11" s="2">
        <v>1994</v>
      </c>
      <c r="D11" s="3">
        <v>41</v>
      </c>
    </row>
    <row r="12" spans="1:4" x14ac:dyDescent="0.2">
      <c r="A12" s="15">
        <v>1995</v>
      </c>
      <c r="B12" s="9">
        <v>40</v>
      </c>
      <c r="C12" s="2">
        <v>1995</v>
      </c>
      <c r="D12" s="3">
        <v>40</v>
      </c>
    </row>
    <row r="13" spans="1:4" x14ac:dyDescent="0.2">
      <c r="A13" s="15">
        <v>1996</v>
      </c>
      <c r="B13" s="9">
        <v>39</v>
      </c>
      <c r="C13" s="2">
        <v>1996</v>
      </c>
      <c r="D13" s="3">
        <v>39</v>
      </c>
    </row>
    <row r="14" spans="1:4" x14ac:dyDescent="0.2">
      <c r="A14" s="15">
        <v>1997</v>
      </c>
      <c r="B14" s="9">
        <v>39</v>
      </c>
      <c r="C14" s="2">
        <v>1997</v>
      </c>
      <c r="D14" s="3">
        <v>39</v>
      </c>
    </row>
    <row r="15" spans="1:4" x14ac:dyDescent="0.2">
      <c r="A15" s="15">
        <v>1998</v>
      </c>
      <c r="B15" s="9">
        <v>41</v>
      </c>
      <c r="C15" s="2">
        <v>1998</v>
      </c>
      <c r="D15" s="3">
        <v>41</v>
      </c>
    </row>
    <row r="16" spans="1:4" x14ac:dyDescent="0.2">
      <c r="A16" s="15">
        <v>1999</v>
      </c>
      <c r="B16" s="9">
        <v>40</v>
      </c>
      <c r="C16" s="2">
        <v>1999</v>
      </c>
      <c r="D16" s="3">
        <v>40</v>
      </c>
    </row>
    <row r="17" spans="1:4" x14ac:dyDescent="0.2">
      <c r="A17" s="13">
        <v>2000</v>
      </c>
      <c r="B17" s="12">
        <v>54</v>
      </c>
      <c r="C17" s="2">
        <v>2000</v>
      </c>
      <c r="D17" s="3">
        <v>54</v>
      </c>
    </row>
    <row r="18" spans="1:4" x14ac:dyDescent="0.2">
      <c r="C18" s="2" t="s">
        <v>80</v>
      </c>
      <c r="D18" s="3">
        <v>655</v>
      </c>
    </row>
    <row r="20" spans="1:4" x14ac:dyDescent="0.2">
      <c r="A20" s="4" t="s">
        <v>11</v>
      </c>
      <c r="B20" s="6" t="s">
        <v>12</v>
      </c>
      <c r="C20" s="1" t="s">
        <v>79</v>
      </c>
      <c r="D20" t="s">
        <v>88</v>
      </c>
    </row>
    <row r="21" spans="1:4" x14ac:dyDescent="0.2">
      <c r="A21" s="15">
        <v>35500</v>
      </c>
      <c r="B21" s="9">
        <v>1986</v>
      </c>
      <c r="C21" s="2">
        <v>1985</v>
      </c>
      <c r="D21" s="3">
        <v>35140</v>
      </c>
    </row>
    <row r="22" spans="1:4" x14ac:dyDescent="0.2">
      <c r="A22" s="15">
        <v>35140</v>
      </c>
      <c r="B22" s="9">
        <v>1985</v>
      </c>
      <c r="C22" s="2">
        <v>1986</v>
      </c>
      <c r="D22" s="3">
        <v>35500</v>
      </c>
    </row>
    <row r="23" spans="1:4" x14ac:dyDescent="0.2">
      <c r="A23" s="15">
        <v>32386</v>
      </c>
      <c r="B23" s="9">
        <v>1987</v>
      </c>
      <c r="C23" s="2">
        <v>1987</v>
      </c>
      <c r="D23" s="3">
        <v>32386</v>
      </c>
    </row>
    <row r="24" spans="1:4" x14ac:dyDescent="0.2">
      <c r="A24" s="15">
        <v>29898</v>
      </c>
      <c r="B24" s="9">
        <v>1988</v>
      </c>
      <c r="C24" s="2">
        <v>1988</v>
      </c>
      <c r="D24" s="3">
        <v>29898</v>
      </c>
    </row>
    <row r="25" spans="1:4" x14ac:dyDescent="0.2">
      <c r="A25" s="15">
        <v>26373</v>
      </c>
      <c r="B25" s="9">
        <v>1989</v>
      </c>
      <c r="C25" s="2">
        <v>1989</v>
      </c>
      <c r="D25" s="3">
        <v>26373</v>
      </c>
    </row>
    <row r="26" spans="1:4" x14ac:dyDescent="0.2">
      <c r="A26" s="15">
        <v>23019</v>
      </c>
      <c r="B26" s="9">
        <v>1990</v>
      </c>
      <c r="C26" s="2">
        <v>1990</v>
      </c>
      <c r="D26" s="3">
        <v>23019</v>
      </c>
    </row>
    <row r="27" spans="1:4" x14ac:dyDescent="0.2">
      <c r="A27" s="15">
        <v>19518</v>
      </c>
      <c r="B27" s="9">
        <v>1991</v>
      </c>
      <c r="C27" s="2">
        <v>1991</v>
      </c>
      <c r="D27" s="3">
        <v>19518</v>
      </c>
    </row>
    <row r="28" spans="1:4" x14ac:dyDescent="0.2">
      <c r="A28" s="15">
        <v>16740</v>
      </c>
      <c r="B28" s="9">
        <v>1992</v>
      </c>
      <c r="C28" s="2">
        <v>1992</v>
      </c>
      <c r="D28" s="3">
        <v>16740</v>
      </c>
    </row>
    <row r="29" spans="1:4" x14ac:dyDescent="0.2">
      <c r="A29" s="15">
        <v>13442</v>
      </c>
      <c r="B29" s="9">
        <v>1993</v>
      </c>
      <c r="C29" s="2">
        <v>1993</v>
      </c>
      <c r="D29" s="3">
        <v>13442</v>
      </c>
    </row>
    <row r="30" spans="1:4" x14ac:dyDescent="0.2">
      <c r="A30" s="15">
        <v>9976</v>
      </c>
      <c r="B30" s="9">
        <v>1994</v>
      </c>
      <c r="C30" s="2">
        <v>1994</v>
      </c>
      <c r="D30" s="3">
        <v>9976</v>
      </c>
    </row>
    <row r="31" spans="1:4" x14ac:dyDescent="0.2">
      <c r="A31" s="15">
        <v>6343</v>
      </c>
      <c r="B31" s="9">
        <v>1995</v>
      </c>
      <c r="C31" s="2">
        <v>1995</v>
      </c>
      <c r="D31" s="3">
        <v>6343</v>
      </c>
    </row>
    <row r="32" spans="1:4" x14ac:dyDescent="0.2">
      <c r="A32" s="15">
        <v>2907</v>
      </c>
      <c r="B32" s="9">
        <v>1996</v>
      </c>
      <c r="C32" s="2">
        <v>1996</v>
      </c>
      <c r="D32" s="3">
        <v>2907</v>
      </c>
    </row>
    <row r="33" spans="1:4" x14ac:dyDescent="0.2">
      <c r="A33" s="15">
        <v>-1052</v>
      </c>
      <c r="B33" s="9">
        <v>1997</v>
      </c>
      <c r="C33" s="2">
        <v>1997</v>
      </c>
      <c r="D33" s="3">
        <v>-1052</v>
      </c>
    </row>
    <row r="34" spans="1:4" x14ac:dyDescent="0.2">
      <c r="A34" s="15">
        <v>-4891</v>
      </c>
      <c r="B34" s="9">
        <v>1998</v>
      </c>
      <c r="C34" s="2">
        <v>1998</v>
      </c>
      <c r="D34" s="3">
        <v>-4891</v>
      </c>
    </row>
    <row r="35" spans="1:4" x14ac:dyDescent="0.2">
      <c r="A35" s="15">
        <v>-8954</v>
      </c>
      <c r="B35" s="9">
        <v>1999</v>
      </c>
      <c r="C35" s="2">
        <v>1999</v>
      </c>
      <c r="D35" s="3">
        <v>-8954</v>
      </c>
    </row>
    <row r="36" spans="1:4" x14ac:dyDescent="0.2">
      <c r="A36" s="13">
        <v>-11211</v>
      </c>
      <c r="B36" s="12">
        <v>2000</v>
      </c>
      <c r="C36" s="2">
        <v>2000</v>
      </c>
      <c r="D36" s="3">
        <v>-11211</v>
      </c>
    </row>
    <row r="37" spans="1:4" x14ac:dyDescent="0.2">
      <c r="C37" s="2" t="s">
        <v>80</v>
      </c>
      <c r="D37" s="3">
        <v>225134</v>
      </c>
    </row>
  </sheetData>
  <pageMargins left="0.7" right="0.7" top="0.75" bottom="0.75" header="0.3" footer="0.3"/>
  <drawing r:id="rId3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1A3AF-8511-4F4E-AC65-89A5BB24F5F7}">
  <dimension ref="A1:G25"/>
  <sheetViews>
    <sheetView showGridLines="0" tabSelected="1" workbookViewId="0">
      <selection activeCell="L36" sqref="L36"/>
    </sheetView>
  </sheetViews>
  <sheetFormatPr baseColWidth="10" defaultRowHeight="16" x14ac:dyDescent="0.2"/>
  <cols>
    <col min="6" max="6" width="16.83203125" bestFit="1" customWidth="1"/>
    <col min="7" max="7" width="13.5" bestFit="1" customWidth="1"/>
    <col min="8" max="8" width="12.1640625" bestFit="1" customWidth="1"/>
    <col min="9" max="9" width="7.6640625" bestFit="1" customWidth="1"/>
    <col min="10" max="10" width="16.5" bestFit="1" customWidth="1"/>
    <col min="11" max="11" width="9.5" bestFit="1" customWidth="1"/>
    <col min="12" max="12" width="10.1640625" bestFit="1" customWidth="1"/>
    <col min="13" max="13" width="18.33203125" bestFit="1" customWidth="1"/>
    <col min="14" max="14" width="9" bestFit="1" customWidth="1"/>
    <col min="15" max="15" width="5.6640625" bestFit="1" customWidth="1"/>
    <col min="16" max="17" width="11.6640625" bestFit="1" customWidth="1"/>
    <col min="18" max="18" width="14" bestFit="1" customWidth="1"/>
    <col min="19" max="19" width="18.33203125" bestFit="1" customWidth="1"/>
    <col min="20" max="20" width="13.5" bestFit="1" customWidth="1"/>
    <col min="21" max="21" width="14.1640625" bestFit="1" customWidth="1"/>
    <col min="22" max="22" width="16.6640625" bestFit="1" customWidth="1"/>
    <col min="23" max="23" width="16.5" bestFit="1" customWidth="1"/>
    <col min="24" max="24" width="11.1640625" bestFit="1" customWidth="1"/>
    <col min="25" max="25" width="15.83203125" bestFit="1" customWidth="1"/>
    <col min="26" max="26" width="10.1640625" bestFit="1" customWidth="1"/>
    <col min="27" max="27" width="11.6640625" bestFit="1" customWidth="1"/>
    <col min="28" max="28" width="14.1640625" bestFit="1" customWidth="1"/>
    <col min="29" max="29" width="13.1640625" bestFit="1" customWidth="1"/>
    <col min="30" max="30" width="16.6640625" bestFit="1" customWidth="1"/>
    <col min="31" max="31" width="16.5" bestFit="1" customWidth="1"/>
    <col min="32" max="32" width="17.6640625" bestFit="1" customWidth="1"/>
    <col min="33" max="33" width="11.1640625" bestFit="1" customWidth="1"/>
    <col min="34" max="34" width="15.83203125" bestFit="1" customWidth="1"/>
    <col min="35" max="35" width="15.33203125" bestFit="1" customWidth="1"/>
    <col min="36" max="36" width="10.1640625" bestFit="1" customWidth="1"/>
    <col min="37" max="37" width="11.6640625" bestFit="1" customWidth="1"/>
    <col min="38" max="38" width="16.6640625" bestFit="1" customWidth="1"/>
    <col min="39" max="39" width="16.5" bestFit="1" customWidth="1"/>
    <col min="40" max="40" width="10.83203125" bestFit="1" customWidth="1"/>
    <col min="41" max="41" width="17.6640625" bestFit="1" customWidth="1"/>
    <col min="42" max="42" width="11.1640625" bestFit="1" customWidth="1"/>
    <col min="43" max="43" width="15.83203125" bestFit="1" customWidth="1"/>
    <col min="44" max="44" width="10.83203125" bestFit="1" customWidth="1"/>
    <col min="45" max="45" width="15.33203125" bestFit="1" customWidth="1"/>
    <col min="46" max="46" width="10.1640625" bestFit="1" customWidth="1"/>
    <col min="47" max="47" width="11.6640625" bestFit="1" customWidth="1"/>
  </cols>
  <sheetData>
    <row r="1" spans="1:7" x14ac:dyDescent="0.2">
      <c r="A1" s="4" t="s">
        <v>34</v>
      </c>
      <c r="B1" s="5" t="s">
        <v>35</v>
      </c>
      <c r="C1" s="5" t="s">
        <v>57</v>
      </c>
      <c r="D1" s="5" t="s">
        <v>0</v>
      </c>
      <c r="E1" s="6" t="s">
        <v>58</v>
      </c>
      <c r="F1" s="1" t="s">
        <v>79</v>
      </c>
      <c r="G1" t="s">
        <v>89</v>
      </c>
    </row>
    <row r="2" spans="1:7" x14ac:dyDescent="0.2">
      <c r="A2" s="7" t="s">
        <v>59</v>
      </c>
      <c r="B2" s="14" t="s">
        <v>60</v>
      </c>
      <c r="C2" s="16">
        <v>31048</v>
      </c>
      <c r="D2" s="14" t="s">
        <v>9</v>
      </c>
      <c r="E2" s="9">
        <v>41</v>
      </c>
      <c r="F2" s="2" t="s">
        <v>61</v>
      </c>
      <c r="G2" s="3">
        <v>41</v>
      </c>
    </row>
    <row r="3" spans="1:7" x14ac:dyDescent="0.2">
      <c r="A3" s="7" t="s">
        <v>61</v>
      </c>
      <c r="B3" s="14" t="s">
        <v>62</v>
      </c>
      <c r="C3" s="16">
        <v>31048</v>
      </c>
      <c r="D3" s="14" t="s">
        <v>6</v>
      </c>
      <c r="E3" s="9">
        <v>41</v>
      </c>
      <c r="F3" s="2" t="s">
        <v>75</v>
      </c>
      <c r="G3" s="3">
        <v>41</v>
      </c>
    </row>
    <row r="4" spans="1:7" x14ac:dyDescent="0.2">
      <c r="A4" s="7" t="s">
        <v>63</v>
      </c>
      <c r="B4" s="14" t="s">
        <v>64</v>
      </c>
      <c r="C4" s="16">
        <v>31048</v>
      </c>
      <c r="D4" s="14" t="s">
        <v>4</v>
      </c>
      <c r="E4" s="9">
        <v>41</v>
      </c>
      <c r="F4" s="2" t="s">
        <v>69</v>
      </c>
      <c r="G4" s="3">
        <v>41</v>
      </c>
    </row>
    <row r="5" spans="1:7" x14ac:dyDescent="0.2">
      <c r="A5" s="7" t="s">
        <v>65</v>
      </c>
      <c r="B5" s="14" t="s">
        <v>66</v>
      </c>
      <c r="C5" s="16">
        <v>31048</v>
      </c>
      <c r="D5" s="14" t="s">
        <v>5</v>
      </c>
      <c r="E5" s="9">
        <v>41</v>
      </c>
      <c r="F5" s="2" t="s">
        <v>77</v>
      </c>
      <c r="G5" s="3">
        <v>41</v>
      </c>
    </row>
    <row r="6" spans="1:7" x14ac:dyDescent="0.2">
      <c r="A6" s="7" t="s">
        <v>67</v>
      </c>
      <c r="B6" s="14" t="s">
        <v>68</v>
      </c>
      <c r="C6" s="16">
        <v>31048</v>
      </c>
      <c r="D6" s="14" t="s">
        <v>3</v>
      </c>
      <c r="E6" s="9">
        <v>41</v>
      </c>
      <c r="F6" s="2" t="s">
        <v>63</v>
      </c>
      <c r="G6" s="3">
        <v>41</v>
      </c>
    </row>
    <row r="7" spans="1:7" x14ac:dyDescent="0.2">
      <c r="A7" s="7" t="s">
        <v>69</v>
      </c>
      <c r="B7" s="14" t="s">
        <v>70</v>
      </c>
      <c r="C7" s="16">
        <v>31048</v>
      </c>
      <c r="D7" s="14" t="s">
        <v>10</v>
      </c>
      <c r="E7" s="9">
        <v>41</v>
      </c>
      <c r="F7" s="2" t="s">
        <v>71</v>
      </c>
      <c r="G7" s="3">
        <v>41</v>
      </c>
    </row>
    <row r="8" spans="1:7" x14ac:dyDescent="0.2">
      <c r="A8" s="7" t="s">
        <v>71</v>
      </c>
      <c r="B8" s="14" t="s">
        <v>72</v>
      </c>
      <c r="C8" s="16">
        <v>31048</v>
      </c>
      <c r="D8" s="14" t="s">
        <v>8</v>
      </c>
      <c r="E8" s="9">
        <v>41</v>
      </c>
      <c r="F8" s="2" t="s">
        <v>73</v>
      </c>
      <c r="G8" s="3">
        <v>41</v>
      </c>
    </row>
    <row r="9" spans="1:7" x14ac:dyDescent="0.2">
      <c r="A9" s="7" t="s">
        <v>73</v>
      </c>
      <c r="B9" s="14" t="s">
        <v>74</v>
      </c>
      <c r="C9" s="16">
        <v>31048</v>
      </c>
      <c r="D9" s="14" t="s">
        <v>7</v>
      </c>
      <c r="E9" s="9">
        <v>41</v>
      </c>
      <c r="F9" s="2" t="s">
        <v>67</v>
      </c>
      <c r="G9" s="3">
        <v>41</v>
      </c>
    </row>
    <row r="10" spans="1:7" x14ac:dyDescent="0.2">
      <c r="A10" s="7" t="s">
        <v>75</v>
      </c>
      <c r="B10" s="14" t="s">
        <v>76</v>
      </c>
      <c r="C10" s="16">
        <v>31048</v>
      </c>
      <c r="D10" s="14" t="s">
        <v>2</v>
      </c>
      <c r="E10" s="9">
        <v>41</v>
      </c>
      <c r="F10" s="2" t="s">
        <v>65</v>
      </c>
      <c r="G10" s="3">
        <v>41</v>
      </c>
    </row>
    <row r="11" spans="1:7" x14ac:dyDescent="0.2">
      <c r="A11" s="10" t="s">
        <v>77</v>
      </c>
      <c r="B11" s="17" t="s">
        <v>78</v>
      </c>
      <c r="C11" s="18">
        <v>31061</v>
      </c>
      <c r="D11" s="17" t="s">
        <v>10</v>
      </c>
      <c r="E11" s="12">
        <v>41</v>
      </c>
      <c r="F11" s="2" t="s">
        <v>59</v>
      </c>
      <c r="G11" s="3">
        <v>41</v>
      </c>
    </row>
    <row r="12" spans="1:7" x14ac:dyDescent="0.2">
      <c r="F12" s="2" t="s">
        <v>80</v>
      </c>
      <c r="G12" s="3">
        <v>410</v>
      </c>
    </row>
    <row r="14" spans="1:7" x14ac:dyDescent="0.2">
      <c r="A14" s="4" t="s">
        <v>34</v>
      </c>
      <c r="B14" s="5" t="s">
        <v>35</v>
      </c>
      <c r="C14" s="5" t="s">
        <v>0</v>
      </c>
      <c r="D14" s="5" t="s">
        <v>17</v>
      </c>
      <c r="E14" s="6" t="s">
        <v>36</v>
      </c>
      <c r="F14" s="1" t="s">
        <v>79</v>
      </c>
      <c r="G14" t="s">
        <v>90</v>
      </c>
    </row>
    <row r="15" spans="1:7" x14ac:dyDescent="0.2">
      <c r="A15" s="7" t="s">
        <v>37</v>
      </c>
      <c r="B15" s="14" t="s">
        <v>38</v>
      </c>
      <c r="C15" s="14" t="s">
        <v>3</v>
      </c>
      <c r="D15" s="14" t="s">
        <v>20</v>
      </c>
      <c r="E15" s="9">
        <v>158220</v>
      </c>
      <c r="F15" s="2" t="s">
        <v>37</v>
      </c>
      <c r="G15" s="3">
        <v>158220</v>
      </c>
    </row>
    <row r="16" spans="1:7" x14ac:dyDescent="0.2">
      <c r="A16" s="7" t="s">
        <v>39</v>
      </c>
      <c r="B16" s="14" t="s">
        <v>40</v>
      </c>
      <c r="C16" s="14" t="s">
        <v>3</v>
      </c>
      <c r="D16" s="14" t="s">
        <v>20</v>
      </c>
      <c r="E16" s="9">
        <v>156286</v>
      </c>
      <c r="F16" s="2" t="s">
        <v>39</v>
      </c>
      <c r="G16" s="3">
        <v>156286</v>
      </c>
    </row>
    <row r="17" spans="1:7" x14ac:dyDescent="0.2">
      <c r="A17" s="7" t="s">
        <v>41</v>
      </c>
      <c r="B17" s="14" t="s">
        <v>42</v>
      </c>
      <c r="C17" s="14" t="s">
        <v>3</v>
      </c>
      <c r="D17" s="14" t="s">
        <v>20</v>
      </c>
      <c r="E17" s="9">
        <v>155709</v>
      </c>
      <c r="F17" s="2" t="s">
        <v>41</v>
      </c>
      <c r="G17" s="3">
        <v>155709</v>
      </c>
    </row>
    <row r="18" spans="1:7" x14ac:dyDescent="0.2">
      <c r="A18" s="7" t="s">
        <v>43</v>
      </c>
      <c r="B18" s="14" t="s">
        <v>44</v>
      </c>
      <c r="C18" s="14" t="s">
        <v>3</v>
      </c>
      <c r="D18" s="14" t="s">
        <v>20</v>
      </c>
      <c r="E18" s="9">
        <v>155513</v>
      </c>
      <c r="F18" s="2" t="s">
        <v>43</v>
      </c>
      <c r="G18" s="3">
        <v>155513</v>
      </c>
    </row>
    <row r="19" spans="1:7" x14ac:dyDescent="0.2">
      <c r="A19" s="7" t="s">
        <v>45</v>
      </c>
      <c r="B19" s="14" t="s">
        <v>46</v>
      </c>
      <c r="C19" s="14" t="s">
        <v>3</v>
      </c>
      <c r="D19" s="14" t="s">
        <v>20</v>
      </c>
      <c r="E19" s="9">
        <v>155190</v>
      </c>
      <c r="F19" s="2" t="s">
        <v>45</v>
      </c>
      <c r="G19" s="3">
        <v>155190</v>
      </c>
    </row>
    <row r="20" spans="1:7" x14ac:dyDescent="0.2">
      <c r="A20" s="7" t="s">
        <v>47</v>
      </c>
      <c r="B20" s="14" t="s">
        <v>48</v>
      </c>
      <c r="C20" s="14" t="s">
        <v>3</v>
      </c>
      <c r="D20" s="14" t="s">
        <v>20</v>
      </c>
      <c r="E20" s="9">
        <v>154459</v>
      </c>
      <c r="F20" s="2" t="s">
        <v>47</v>
      </c>
      <c r="G20" s="3">
        <v>154459</v>
      </c>
    </row>
    <row r="21" spans="1:7" x14ac:dyDescent="0.2">
      <c r="A21" s="7" t="s">
        <v>49</v>
      </c>
      <c r="B21" s="14" t="s">
        <v>50</v>
      </c>
      <c r="C21" s="14" t="s">
        <v>3</v>
      </c>
      <c r="D21" s="14" t="s">
        <v>20</v>
      </c>
      <c r="E21" s="9">
        <v>154376</v>
      </c>
      <c r="F21" s="2" t="s">
        <v>49</v>
      </c>
      <c r="G21" s="3">
        <v>154376</v>
      </c>
    </row>
    <row r="22" spans="1:7" x14ac:dyDescent="0.2">
      <c r="A22" s="7" t="s">
        <v>51</v>
      </c>
      <c r="B22" s="14" t="s">
        <v>52</v>
      </c>
      <c r="C22" s="14" t="s">
        <v>3</v>
      </c>
      <c r="D22" s="14" t="s">
        <v>20</v>
      </c>
      <c r="E22" s="9">
        <v>153715</v>
      </c>
      <c r="F22" s="2" t="s">
        <v>51</v>
      </c>
      <c r="G22" s="3">
        <v>153715</v>
      </c>
    </row>
    <row r="23" spans="1:7" x14ac:dyDescent="0.2">
      <c r="A23" s="7" t="s">
        <v>53</v>
      </c>
      <c r="B23" s="14" t="s">
        <v>54</v>
      </c>
      <c r="C23" s="14" t="s">
        <v>3</v>
      </c>
      <c r="D23" s="14" t="s">
        <v>20</v>
      </c>
      <c r="E23" s="9">
        <v>152710</v>
      </c>
      <c r="F23" s="2" t="s">
        <v>53</v>
      </c>
      <c r="G23" s="3">
        <v>152710</v>
      </c>
    </row>
    <row r="24" spans="1:7" x14ac:dyDescent="0.2">
      <c r="A24" s="10" t="s">
        <v>55</v>
      </c>
      <c r="B24" s="17" t="s">
        <v>56</v>
      </c>
      <c r="C24" s="17" t="s">
        <v>3</v>
      </c>
      <c r="D24" s="17" t="s">
        <v>20</v>
      </c>
      <c r="E24" s="12">
        <v>152687</v>
      </c>
      <c r="F24" s="2" t="s">
        <v>55</v>
      </c>
      <c r="G24" s="3">
        <v>152687</v>
      </c>
    </row>
    <row r="25" spans="1:7" x14ac:dyDescent="0.2">
      <c r="F25" s="2" t="s">
        <v>80</v>
      </c>
      <c r="G25" s="3">
        <v>1548865</v>
      </c>
    </row>
  </sheetData>
  <pageMargins left="0.7" right="0.7" top="0.75" bottom="0.75" header="0.3" footer="0.3"/>
  <drawing r:id="rId3"/>
  <tableParts count="2"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8ECBD4-8580-7549-9F4C-87A0F8B6F2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Plantilla</vt:lpstr>
      <vt:lpstr>Salarios</vt:lpstr>
      <vt:lpstr>Tendencias </vt:lpstr>
      <vt:lpstr>destacados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RAUDES GONZALEZ  STEVEN DANIEL</dc:creator>
  <cp:lastModifiedBy>RAUDES GONZALEZ  STEVEN DANIEL</cp:lastModifiedBy>
  <dcterms:created xsi:type="dcterms:W3CDTF">2026-06-12T17:17:03Z</dcterms:created>
  <dcterms:modified xsi:type="dcterms:W3CDTF">2026-06-16T19:46:45Z</dcterms:modified>
</cp:coreProperties>
</file>